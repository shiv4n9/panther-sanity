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shivang/Downloads/Panther Sanity/public/data/"/>
    </mc:Choice>
  </mc:AlternateContent>
  <xr:revisionPtr revIDLastSave="0" documentId="13_ncr:1_{2F603F43-5400-DF4B-995C-1514E23F7609}" xr6:coauthVersionLast="47" xr6:coauthVersionMax="47" xr10:uidLastSave="{00000000-0000-0000-0000-000000000000}"/>
  <bookViews>
    <workbookView xWindow="0" yWindow="660" windowWidth="34560" windowHeight="21680" xr2:uid="{982B047A-A65D-41BF-8595-49A5B2074CF1}"/>
  </bookViews>
  <sheets>
    <sheet name="ISSUES-PR's" sheetId="7" r:id="rId1"/>
    <sheet name="SRX400" sheetId="6" r:id="rId2"/>
    <sheet name="SRX440" sheetId="10" r:id="rId3"/>
    <sheet name="DS-1" sheetId="12" r:id="rId4"/>
    <sheet name="Prelimnary data" sheetId="9" r:id="rId5"/>
    <sheet name="Second Set Data" sheetId="11" r:id="rId6"/>
  </sheets>
  <definedNames>
    <definedName name="_xlnm._FilterDatabase" localSheetId="0" hidden="1">'ISSUES-PR''s'!$A$1:$I$224</definedName>
    <definedName name="_xlnm._FilterDatabase" localSheetId="2" hidden="1">'SRX440'!$A$1:$F$100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6" i="7" l="1"/>
  <c r="A160" i="7"/>
  <c r="A161" i="7"/>
  <c r="A153" i="7"/>
  <c r="H68" i="10"/>
  <c r="I68" i="10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9" i="7"/>
  <c r="A208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59" i="7"/>
  <c r="A158" i="7"/>
  <c r="A157" i="7"/>
  <c r="A156" i="7"/>
  <c r="A155" i="7"/>
  <c r="A154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I25" i="12"/>
  <c r="H37" i="10"/>
  <c r="H38" i="10" s="1"/>
  <c r="G37" i="10"/>
  <c r="G38" i="10" s="1"/>
  <c r="F37" i="10"/>
  <c r="F38" i="10" s="1"/>
  <c r="J37" i="10"/>
  <c r="J38" i="10" s="1"/>
  <c r="I37" i="10"/>
  <c r="I38" i="10" s="1"/>
  <c r="F43" i="10"/>
  <c r="F41" i="10"/>
</calcChain>
</file>

<file path=xl/sharedStrings.xml><?xml version="1.0" encoding="utf-8"?>
<sst xmlns="http://schemas.openxmlformats.org/spreadsheetml/2006/main" count="2406" uniqueCount="508">
  <si>
    <t>number</t>
  </si>
  <si>
    <t>Synopsis</t>
  </si>
  <si>
    <t>Reported-In</t>
  </si>
  <si>
    <t>Category</t>
  </si>
  <si>
    <t>Problem-Level</t>
  </si>
  <si>
    <t>Blocker</t>
  </si>
  <si>
    <t>Planned-Release</t>
  </si>
  <si>
    <t>State</t>
  </si>
  <si>
    <t>Responsible</t>
  </si>
  <si>
    <t>26.1R1-EVO: Panther: SRX400: dot1dx crash is observed during SRX400 boot up</t>
  </si>
  <si>
    <t>26.1R1-EVO</t>
  </si>
  <si>
    <t>sw-srx4xx-platform</t>
  </si>
  <si>
    <t>4-IL2</t>
  </si>
  <si>
    <t>26.2R1-EVO</t>
  </si>
  <si>
    <t>closed</t>
  </si>
  <si>
    <t>ndebnath</t>
  </si>
  <si>
    <t>25.4R2-EVO</t>
  </si>
  <si>
    <t>25.4X300-EVO</t>
  </si>
  <si>
    <t>gramasub</t>
  </si>
  <si>
    <t>26.2R1-EVO: Panther: SRX4XX: srxpfemand crash observed at ../sysdeps/unix/sysv/linux/select.c:69</t>
  </si>
  <si>
    <t>sw-srx-evo-pfe</t>
  </si>
  <si>
    <t>hzhang</t>
  </si>
  <si>
    <t>Test</t>
  </si>
  <si>
    <t>26.2R1-EVO: Panther: SRX4XX: ARP resolution fails once the existing arp is cleared. Reboot is required to return to normal operation</t>
  </si>
  <si>
    <t>yogeshg</t>
  </si>
  <si>
    <t>26.2R1-EVO: Panther: SRX4XX: Only one core is exercised in UDP Performance testing</t>
  </si>
  <si>
    <t>3-IL1</t>
  </si>
  <si>
    <t>FRS</t>
  </si>
  <si>
    <t>rkkiran</t>
  </si>
  <si>
    <t>MR</t>
  </si>
  <si>
    <t>XR</t>
  </si>
  <si>
    <t>26.2DCB</t>
  </si>
  <si>
    <t>25.4X300-JUNOS-TO-EVO-HELPER</t>
  </si>
  <si>
    <t>26.2R1-EVO: Panther: SRX4XX: "clear arp" all does not clear all arp entries</t>
  </si>
  <si>
    <t>mamireddy</t>
  </si>
  <si>
    <t>26.2R1-EVO: Panther: SRX4XX: "clear interfaces statistics all" is not working as expected</t>
  </si>
  <si>
    <t>upatro</t>
  </si>
  <si>
    <t>26.2R1-EVO: Panther: SRX4XX: "show usp flow pmi stats" output is empty on the pfe, counters are not updated</t>
  </si>
  <si>
    <t>26.3R1-EVO</t>
  </si>
  <si>
    <t>htadiparthi</t>
  </si>
  <si>
    <t>jayaramr</t>
  </si>
  <si>
    <t>26.2R1</t>
  </si>
  <si>
    <t>26.3DCB</t>
  </si>
  <si>
    <t>25.4R2</t>
  </si>
  <si>
    <t>26.2R1-EVO: Panther: SRX4XX: upgrade the ike package fails on panther platforms</t>
  </si>
  <si>
    <t>pkn</t>
  </si>
  <si>
    <t>26.2R1-EVO: Panther: SRX4XX: st0 interface statistics are not updated with monitor interface traffic output command</t>
  </si>
  <si>
    <t>sw-jsr-vpn</t>
  </si>
  <si>
    <t>abhamani</t>
  </si>
  <si>
    <t>26.2R1-EVO: Panther: SRX4XX: it takes approx. 60 seconds to display the cpu on the system once traffic is started</t>
  </si>
  <si>
    <t>26.2R1-EVO: Panther: SRX4XX: 100% packet drops is seen after sending UDP Traffic for couple of hours in IPSEC UDP Performance testing</t>
  </si>
  <si>
    <t>mingl</t>
  </si>
  <si>
    <t>26.2R1-EVO: Panther: SRX4XX: Enhanced service mode configuration is not enabled on SRX4XX Platform</t>
  </si>
  <si>
    <t>anidawani</t>
  </si>
  <si>
    <t>26.2R1-EVO: Panther: SRX4XX: "show usp memory segment" profile mentioned as "VSRX-HIGHMEM-NO-ADV-SERVICES" instead of SRX4XX</t>
  </si>
  <si>
    <t>asundaram</t>
  </si>
  <si>
    <t>25.4X300-EVO: Panther: SRX400: ikemd crash @ ikedmgr_completeness_check_vpncfg</t>
  </si>
  <si>
    <t>26.2R1-EVO: Panther: SRX4XX: srxpfe crash pmi_xform_ipsec_esp_decrypt_post (m=0x3b15bd040, ctx=&lt;optimized out&gt;) at ../../../../../src/pfe/common/drivers/pmi/pmi.c:838</t>
  </si>
  <si>
    <t>26.2R1-EVO: Panther: SRX4XX: srxpfeamd crash __GI___libc_read (nbytes=272, buf=0xffffe41fd9c0, fd=4) at ../sysdeps/unix/sysv/linux/read.c:26</t>
  </si>
  <si>
    <t>25.4X300-EVO: Panther: SRX4XX: srxpfemand crashed after downloading sigpack and left idle for some time at ../sysdeps/unix/sysv/linux/faccessat.c:75</t>
  </si>
  <si>
    <t>aramanagarch</t>
  </si>
  <si>
    <t>25.4X300-EVO: Panther: SRX4XX: Unable to install the sigpack on 25.4X300-202601271431.0-EVO</t>
  </si>
  <si>
    <t>sw-idp-policy</t>
  </si>
  <si>
    <t>FCC</t>
  </si>
  <si>
    <t>jprusty</t>
  </si>
  <si>
    <t>26.2R1-EVO: Panther: SRX4XX: "clear arp" all does not work as expected in latest daily</t>
  </si>
  <si>
    <t>ppanse</t>
  </si>
  <si>
    <t>25.4X300-EVO: Panther: SRX4XX: Srxpfemand core while running the APPSEC CPS case</t>
  </si>
  <si>
    <t>25.4X300-EVO: Panther: SRX4XX: Enhanced route scaling mode in show security flow status is disabled even after enabling in the configuration</t>
  </si>
  <si>
    <t>raon</t>
  </si>
  <si>
    <t>25.4X300-EVO: Panther: SRX4XX: show usp memory segment is not updated with enhanced route scale enabled on the device</t>
  </si>
  <si>
    <t>25.4X300-EVO: Panther: SRX4XX: With enhanced route scale mode enabled, 35% HTTP APPFW performance improvement at better CPU is observed when compared to the regular mode</t>
  </si>
  <si>
    <t>25.4X300-EVO: Panther: SRX4XX: rpdagent /junos-proxies/idl/obj-arm/install/usr/include/jnx/rtsock/idl-gen/rtsock_msg_idr_direct.h:2225</t>
  </si>
  <si>
    <t>nsujoy</t>
  </si>
  <si>
    <t>26.2R1-EVO: Panther: SRX4XX: ikemd crash @ /src/ui/external/bsd/libbsd/dist/src/strlcpy.c:36</t>
  </si>
  <si>
    <t>monitored</t>
  </si>
  <si>
    <t>26.2R2-EVO</t>
  </si>
  <si>
    <t>26.2R1-EVO: Panther: SRX4XX: named crash @ /src/usp/usr.sbin/named/named_rtsock.c:173</t>
  </si>
  <si>
    <t>rtn</t>
  </si>
  <si>
    <t>cbapat</t>
  </si>
  <si>
    <t>25.4X300-EVO: Panther: SRX4XX: srxpfe core while running APPFW Throughput @ /src/usp/lib/libuspapp-debug/elfinfo.c:421</t>
  </si>
  <si>
    <t>verify-resolution</t>
  </si>
  <si>
    <t>25.4X300-EVO: Panther: SRX4XX: bps value is missing in show interfaces ge-x/x/x statistics</t>
  </si>
  <si>
    <t>sw-evo-ui-cmds</t>
  </si>
  <si>
    <t>mshoaib</t>
  </si>
  <si>
    <t>25.4X300-EVO: Panther: SRX4XX: Platform is shown VMWARE while logging into vty</t>
  </si>
  <si>
    <t>sboggarapu</t>
  </si>
  <si>
    <t>26.3R1</t>
  </si>
  <si>
    <t>25.4X300-EVO: Panther: SRX4XX: vty command "show nic queue-stats port x" is not working as expected</t>
  </si>
  <si>
    <t>awaiting-build</t>
  </si>
  <si>
    <t>25.4X300-EVO: Panther: SRX4XX: Warning message to reboot is not seen while moving the device from flow mode to packet mode</t>
  </si>
  <si>
    <t>25.4X300-EVO: Panther: SRX4XX: Inet forwarding mode shown as "none" in packet mode</t>
  </si>
  <si>
    <t>25.4X300-EVO: Panther: SRX4XX: SSL FP CPS: SRXPFE Crashed when testing CPS with 64 bytes</t>
  </si>
  <si>
    <t>sw-jsr-tcpproxy</t>
  </si>
  <si>
    <t>25.4X300-EVO: Panther: SRX4XX: named crash with ssl cps 64 bytes @ /sysdeps/unix/sysv/linux/arm/libc-do-syscall.S:47</t>
  </si>
  <si>
    <t>sw-srx-evo-ssl</t>
  </si>
  <si>
    <t>25.4X300-EVO: Panther: SRX4XX: Support for fat-core on SRX4XX Platforms</t>
  </si>
  <si>
    <t>deekshabs</t>
  </si>
  <si>
    <t>25.4X300-EVO: Panther: SRX4XX: "show security monitoring" throws syntax error</t>
  </si>
  <si>
    <t>PVT_DEV_COMMON_BRANCH_Amogh</t>
  </si>
  <si>
    <t>PVT_254x</t>
  </si>
  <si>
    <t>PVT_262</t>
  </si>
  <si>
    <t>25.4X300-EVO: Panther: SRX4XX: vty: "show usp ipsec tunnel-distribution" is not updated with the tunnel information</t>
  </si>
  <si>
    <t>basireddygaj</t>
  </si>
  <si>
    <t>25.4X300-EVO: Panther: SRX4XX: IPSEC Performance - Only one core is utilized on the decryption side</t>
  </si>
  <si>
    <t>26.4R1-EVO</t>
  </si>
  <si>
    <t>assigned</t>
  </si>
  <si>
    <t>jnpr-v515-std-cnsdkv515RCPL18/octeon</t>
  </si>
  <si>
    <t>juniper-v515-standard-unified</t>
  </si>
  <si>
    <t>25.4X300-EVO: : Panther: SRX4XX: Upon loading the 2048 IPSEC Tunnel configuration 're0 Node memory level is low' is seen</t>
  </si>
  <si>
    <t>anandg</t>
  </si>
  <si>
    <t>25.4X300-EVO: Panther: SRX4XX: RE Idle CPU is ~15% with IPSEC Tunnel case</t>
  </si>
  <si>
    <t>25.4X300-EVO: Panther: SRX4XX: To enable "show nic stats port" and "show nic queue-stats port" commands on panther devices</t>
  </si>
  <si>
    <t>26.2R1-EVO: Panther: SRX4XX: Intermittent packet drops are seen while measuring UDP 64B Performance</t>
  </si>
  <si>
    <t>mmathad</t>
  </si>
  <si>
    <t>25.4X300-EVO: Panther: SRX4XX: To enable control plane and data plane memory details in "show chassis routing-engine" output</t>
  </si>
  <si>
    <t>25.4X300-EVO: Panther: SRX4XX: Debug messages are seen once we login to the pfe on latest X300 images</t>
  </si>
  <si>
    <t>25.4X300-EVO: Panther: SRX4XX: Observing "sessions bypassed:low memory" field increasing in "show services ssl proxy statistics" and glablal data shm is 87%</t>
  </si>
  <si>
    <t>sw-ssl-proxy</t>
  </si>
  <si>
    <t>25.4X300-EVO: Panther: SRX4XX: IDP Rec Performance: Packet drops are seen with "Dropped by FLOW:flow drop discarded by jsf plugin junos-idp"</t>
  </si>
  <si>
    <t>sw-idp-flow</t>
  </si>
  <si>
    <t>25.4X300-EVO: Panther: SRX4XX: It takes ~10 seconds to get "show security flow session output"</t>
  </si>
  <si>
    <t>sw-dpi-ngappid</t>
  </si>
  <si>
    <t>25.4X300-EVO: Panther: SRX4XX: srxpfemand SIGSEGV, Segmentation fault observed at ../../include/jnx/jipc_buffer.h:188</t>
  </si>
  <si>
    <t>25.4X300-EVO: Panther: SRX4XX: distributord crash seen at /sysdeps/unix/sysv/linux/arm/libc-do-syscall.S:47</t>
  </si>
  <si>
    <t>rsleebac</t>
  </si>
  <si>
    <t>25.4X300-EVO: Panther: SRX4XX: ping to vlan-id 1 fails, rest of the vlan works as expected</t>
  </si>
  <si>
    <t>kv</t>
  </si>
  <si>
    <t>25.4X300-EVO: Panther: SRX4XX: Services memory Global data shm of SRX400 and SRX440 is the same</t>
  </si>
  <si>
    <t>hhemmigesamp</t>
  </si>
  <si>
    <t>25.4X300-202604190112.0-EVO: Packet drops are seen during while doing ipsec performance test, observing NIC drops at high CPU (~90%)</t>
  </si>
  <si>
    <t>25.4X300-D10-EVO</t>
  </si>
  <si>
    <t>25.4X300-EVO: Panther: SRX4XX: IDP Session scale limit to be updated</t>
  </si>
  <si>
    <t>25.4X300-EVO: Panther: SRX4XX: Not able to scale more than 52K IDP Session scale on SRX440, expected scale is 96K</t>
  </si>
  <si>
    <t>25.4X300-EVO: Panther: SRX4XX: RIB/FIB Scale: jdhcpd core is seen at /volume/evo/files/opt/poky/4.0.22-46-cn9130/sysroots/cortexa72-poky-linux/usr/include/bits/byteswap.h:37</t>
  </si>
  <si>
    <t>25.4X300-EVO: Panther: SRX4XX: Not able to scale the expected Skyatp sessions</t>
  </si>
  <si>
    <t>open</t>
  </si>
  <si>
    <t>hopperw</t>
  </si>
  <si>
    <t>25.4X300-202604190112.0-EVO: Packet drops are seen during while doing ipsec performance test during rekey</t>
  </si>
  <si>
    <t>need-info</t>
  </si>
  <si>
    <t>25.4X300-EVO: Panther: SRX4XX: Observing NIC Level drops rx_missed_errors and rx_bm_dropped</t>
  </si>
  <si>
    <t>try-fix</t>
  </si>
  <si>
    <t>25.4X300-EVO: Panther: SRX4XX: To update the FW Session scaling numbers on SRX400 and SRX440</t>
  </si>
  <si>
    <t>25.4X300-EVO: Panther: SRX4XX: To update the Max Zone, Policies and NAT capacity numbers scaling numbers on SRX400 and SRX440</t>
  </si>
  <si>
    <t>DEV_COMMON_BRANCH</t>
  </si>
  <si>
    <t>25.4X300-D10-JUNOS-TO-EVO-HELPER</t>
  </si>
  <si>
    <r>
      <rPr>
        <b/>
        <u/>
        <sz val="14"/>
        <color rgb="FF000000"/>
        <rFont val="Calibri"/>
        <family val="2"/>
      </rPr>
      <t xml:space="preserve">Release: 25.4X300-202605050112.0-EVO
</t>
    </r>
    <r>
      <rPr>
        <b/>
        <sz val="14"/>
        <color rgb="FF000000"/>
        <rFont val="Calibri"/>
        <family val="2"/>
      </rPr>
      <t xml:space="preserve">
Testcase Description</t>
    </r>
  </si>
  <si>
    <t>SRX400
Tested Numbers</t>
  </si>
  <si>
    <t>Comments</t>
  </si>
  <si>
    <t xml:space="preserve">HTTP Throughput via CPS Method (Payload: 64KB) </t>
  </si>
  <si>
    <t>Throughput
CPS/MBPS</t>
  </si>
  <si>
    <t>CPU</t>
  </si>
  <si>
    <t>Global data shm</t>
  </si>
  <si>
    <t>AppControl</t>
  </si>
  <si>
    <t>1700 CPS /940 Mbps</t>
  </si>
  <si>
    <t>AppControl (ASC enabled)</t>
  </si>
  <si>
    <t>3500 CPS / 1950 Mbps</t>
  </si>
  <si>
    <t>* Need Additional Port Pair</t>
  </si>
  <si>
    <t xml:space="preserve">AppControl + AppQOS with ASC enabled </t>
  </si>
  <si>
    <t>1620 CPS /911 Mbps</t>
  </si>
  <si>
    <t xml:space="preserve">AppControl + IDP-Recommended policy </t>
  </si>
  <si>
    <t>875 CPS / 490 Mbps</t>
  </si>
  <si>
    <t>AppControl + IDP-Enterprise Rec policy</t>
  </si>
  <si>
    <t>280 CPS / 160 Mbps</t>
  </si>
  <si>
    <t xml:space="preserve">AppControl + SecIntel </t>
  </si>
  <si>
    <t>1570 CPS / 894 Mbps</t>
  </si>
  <si>
    <t>AppControl + AAMW -Block mode</t>
  </si>
  <si>
    <t>556 CPS / 318 Mbps</t>
  </si>
  <si>
    <t xml:space="preserve">AppControl+ UTM EWF(100% cache) </t>
  </si>
  <si>
    <t>1596 CPS /903 Mbps</t>
  </si>
  <si>
    <t xml:space="preserve">AppControl+ UTM NG-WF(100% cache) </t>
  </si>
  <si>
    <t>1579 CPS / 893 Mbps</t>
  </si>
  <si>
    <t>AppControl + UTM SAV</t>
  </si>
  <si>
    <t>381 CPS / 211 Mbps</t>
  </si>
  <si>
    <t>AppControl + SecIntel+ IDP-Rec + UTM EWF</t>
  </si>
  <si>
    <t>796 CPS / 440 Mbps</t>
  </si>
  <si>
    <t>AppControl + SecIntel+ IDP-Rec + AAMW Block</t>
  </si>
  <si>
    <t>448 CPS / 237 Mbps</t>
  </si>
  <si>
    <t xml:space="preserve">AppControl + SecIntel+ IDP-Rec + UTM EWF + AAMW Block </t>
  </si>
  <si>
    <t>428 CPS / 228 Mbps</t>
  </si>
  <si>
    <t>AppControl + SecIntel+ IDP-Rec + UTM EWF + UTM SAV</t>
  </si>
  <si>
    <t>307 CPS / 165 Mbps</t>
  </si>
  <si>
    <t xml:space="preserve">AppControl + SecIntel+ IDP-Rec + AAMW Block + DNS </t>
  </si>
  <si>
    <t>444 CPS / 234 Mbps</t>
  </si>
  <si>
    <t xml:space="preserve">HTTPS Throughput via CPS Method (Payload: 64KB) </t>
  </si>
  <si>
    <t>AppControl + TCP Proxy</t>
  </si>
  <si>
    <t>420 CPS / 240 Mbps</t>
  </si>
  <si>
    <t>AppControl + SSL(TLS1.2)</t>
  </si>
  <si>
    <t>190 CPS / 110 Mbps</t>
  </si>
  <si>
    <t>AppControl + SSL(TLS1.3)</t>
  </si>
  <si>
    <t>125 CPS / 66 Mbps</t>
  </si>
  <si>
    <t xml:space="preserve">AppControl + SSL+ IDP-Recommended policy </t>
  </si>
  <si>
    <t>165 CPS / 91 Mbps</t>
  </si>
  <si>
    <t xml:space="preserve">AppControl + SSL+ IDP-Enterprise Rec policy </t>
  </si>
  <si>
    <t>55 CPS / 30 Mbps</t>
  </si>
  <si>
    <t>AppControl + SSL + AAMW Block</t>
  </si>
  <si>
    <t>141 CPS / 85 Mbps</t>
  </si>
  <si>
    <t xml:space="preserve">AppControl + SSL + SecIntel + IDP-Rec </t>
  </si>
  <si>
    <t>164 CPS / 91 Mbps</t>
  </si>
  <si>
    <t xml:space="preserve">AppControl + SSL + SecIntel + IDP Rec + UTM EWF </t>
  </si>
  <si>
    <t>149 CPS / 86 Mbps</t>
  </si>
  <si>
    <t xml:space="preserve">AppControl + SSL + SecIntel + IDP Rec + AAMW Block </t>
  </si>
  <si>
    <t>123 CPS / 74 Mbps</t>
  </si>
  <si>
    <t>AppControl + SSL + SecIntel + IDP Rec + UTM EWF + AAMW Block</t>
  </si>
  <si>
    <t>119 CPS / 71 Mbps</t>
  </si>
  <si>
    <t>HTTP Throughput via TPS Method (Payload: 44KB)</t>
  </si>
  <si>
    <t>Throughput
TPS/MBPS</t>
  </si>
  <si>
    <t>Sessions</t>
  </si>
  <si>
    <t>Firewall + AppControl(Unified policy)</t>
  </si>
  <si>
    <t>10600 TPS / 3995 Mbps</t>
  </si>
  <si>
    <t>*100 Sessions</t>
  </si>
  <si>
    <t>AppControl + IDP-Recommended policy template</t>
  </si>
  <si>
    <t>AppControl + IDP-Rec + UTM EWF(100% cache)</t>
  </si>
  <si>
    <t>650 TPS / 256 Mbps</t>
  </si>
  <si>
    <t>CPS Performance (Payload: 64B)</t>
  </si>
  <si>
    <t xml:space="preserve">Firewall TCP CPS </t>
  </si>
  <si>
    <t>20000 (18500)</t>
  </si>
  <si>
    <t xml:space="preserve">IPv6 Firewall TCP CPS </t>
  </si>
  <si>
    <t xml:space="preserve">AppControl with ASC enabled CPS </t>
  </si>
  <si>
    <t xml:space="preserve">AppControl CPS </t>
  </si>
  <si>
    <t>UTM EWF-100% cache</t>
  </si>
  <si>
    <t>UTM- SAV</t>
  </si>
  <si>
    <t xml:space="preserve">AppControl + TCPProxy </t>
  </si>
  <si>
    <t xml:space="preserve">AppControl + SSL(TLS1.2) </t>
  </si>
  <si>
    <t xml:space="preserve">AppControl + SSL(TLS1.3) </t>
  </si>
  <si>
    <t xml:space="preserve">UDP/IPSec Throughput </t>
  </si>
  <si>
    <t>Firewall UDP throughput- Packet size 64bytes</t>
  </si>
  <si>
    <t>654.7 KPPS / 440 Mbps</t>
  </si>
  <si>
    <t>*400 Sessions</t>
  </si>
  <si>
    <t>Firewall UDP throughput- Packet size IMIX(ratio: 64:7, 570:4, 1518:1)</t>
  </si>
  <si>
    <t>655.3 KPPS / 1956 Mbps</t>
  </si>
  <si>
    <t>Firewall UDP throughput- Packet size 1518bytes</t>
  </si>
  <si>
    <t>487.6 KPPS / 6000 Mbps</t>
  </si>
  <si>
    <t>Single flow/session Firewall UDP Throughput- IMIX</t>
  </si>
  <si>
    <t>654.2 KPPS / 1953 Mbps</t>
  </si>
  <si>
    <t>*1 session per Port pair</t>
  </si>
  <si>
    <t>Firewall UDP-50% Latency- Packet size 64bytes</t>
  </si>
  <si>
    <t>15.6 uSec</t>
  </si>
  <si>
    <t>IPv6 Firewall UDP throughput- Packet sizes 104Bytes</t>
  </si>
  <si>
    <t>614.2 KPPS / 610 Mbps</t>
  </si>
  <si>
    <t>IPv6 Firewall UDP throughput- Packet size IMIX(ratio 104:7, 570:4, 1518:1)</t>
  </si>
  <si>
    <t>604.8 KPPS / 1805 Mbps</t>
  </si>
  <si>
    <t>Packet mode UDP throughput- Packet size IMIX(ratio 64:7, 570:4, 1518:1)</t>
  </si>
  <si>
    <t>668.7 KPPS / 1998 MBps</t>
  </si>
  <si>
    <t>Source NAT44 UDP throughput- Packet size IMIX(ratio 64:7, 570:4, 1518:1)</t>
  </si>
  <si>
    <t>635.3 KPPS / 1895 MBPS</t>
  </si>
  <si>
    <t>Source NAT44 UDP Throughput- Distributed Sessions Throughput (25% sessions capacity)</t>
  </si>
  <si>
    <t>508.3 KPPS / 1517 Mbps</t>
  </si>
  <si>
    <t>*128000 Sessions</t>
  </si>
  <si>
    <t>Source NAT44 UDP Throughput- Distributed Sessions Throughput (50% sessions capacity)</t>
  </si>
  <si>
    <t>454.1 KPPS / 1355 Mbps</t>
  </si>
  <si>
    <t>*256000 Sessions</t>
  </si>
  <si>
    <t>Source NAT44 UDP Throughput- Distributed Sessions Throughput (100% sessions capacity)</t>
  </si>
  <si>
    <t>387.8 KPPS / 1158 Mbps</t>
  </si>
  <si>
    <t>*512000 Sessions</t>
  </si>
  <si>
    <t>Firewall UDP throughput with 0% packet loss tolerance- Packet size IMIX</t>
  </si>
  <si>
    <t>615.2 KPPS / 1836 Mbps</t>
  </si>
  <si>
    <t>IPSec(site-2-site) UDP throughput with IKEv2,PSK,AES-GCM256- Packet size 64bytes</t>
  </si>
  <si>
    <t>285.6 KPPS / 191 Mbps</t>
  </si>
  <si>
    <t>*32 Sessions ( 16Tunnels) - PR 1954277 </t>
  </si>
  <si>
    <t>IPSec(site-2-site) UDP throughput with IKEv2,PSK,AES-GCM256- Packet size IMIX(ratio 64:7,570:4,1400:1)</t>
  </si>
  <si>
    <t>281.6 KPPS / 841 Mbps</t>
  </si>
  <si>
    <t>IPSec(site-2-site) UDP throughput with IKEv2,PSK,AES-GCM256- Packet size 512Bytes</t>
  </si>
  <si>
    <t>284 KPPS / 1208 Mbps</t>
  </si>
  <si>
    <t>IPSec(site-2-site) UDP throughput with IKEv2,PSK,AES-GCM256- Packet size 1400bytes</t>
  </si>
  <si>
    <t>228.8 KPPS / 2600 Mbps</t>
  </si>
  <si>
    <t>IPSec(site-2-site)  single tunnel UDP throughput with IKEv2,PSK,AES-GCM256- Packet size IMIX</t>
  </si>
  <si>
    <t>192 KPPS / 566 Mbps</t>
  </si>
  <si>
    <t>*1 session (1 Tunnel) - PR 1954277 </t>
  </si>
  <si>
    <t>IPSec(site-2-site) IKEv2,PSK,AES-GCM256 UDP-50% Latency- Packet size 64bytes</t>
  </si>
  <si>
    <t>145 uSec</t>
  </si>
  <si>
    <t>IPSec(site-2-site) UDP throughput with IKEv2,PKI2K,AES256 - Packet size IMIX(64:7,570:4,1400:1)</t>
  </si>
  <si>
    <t>280 KPPS / 835 Mbps</t>
  </si>
  <si>
    <t>*32 Sessions ( 16Tunnels) -PR 1954277 </t>
  </si>
  <si>
    <t>Route based VPN Tunnel setup rate(TPS rate)- PSK, IKE Encryption: AES256, IKE Authentication: SHA256, DH Group: DH14</t>
  </si>
  <si>
    <t xml:space="preserve">8 TPS </t>
  </si>
  <si>
    <t xml:space="preserve">Scaling </t>
  </si>
  <si>
    <t>Scale</t>
  </si>
  <si>
    <t>Max Zones supported</t>
  </si>
  <si>
    <t>Max Firewall Policies supported</t>
  </si>
  <si>
    <t>Max adresses per policy</t>
  </si>
  <si>
    <t>Max Security Address Books supported</t>
  </si>
  <si>
    <t>Max Policies with Statistics counter</t>
  </si>
  <si>
    <t>Max ARP table size per system</t>
  </si>
  <si>
    <t>Max Virtual routers supported</t>
  </si>
  <si>
    <t>Number of IFLs per Interface</t>
  </si>
  <si>
    <t>Number of IFLs per system supported</t>
  </si>
  <si>
    <t>Max Firewall Filters supported</t>
  </si>
  <si>
    <t>Destination NAT Pools</t>
  </si>
  <si>
    <t>SNAT Rule-sets</t>
  </si>
  <si>
    <t>Static NAT rules &amp; Rule-sets</t>
  </si>
  <si>
    <t>Max IPSec VPN Tunnels supported</t>
  </si>
  <si>
    <t>Max GRE supported Tunnels</t>
  </si>
  <si>
    <t>Max User Auth Table</t>
  </si>
  <si>
    <t>Max supported DHCP Servers</t>
  </si>
  <si>
    <t>Max RPM probes</t>
  </si>
  <si>
    <t>BGP- Total RIB Routes/Size</t>
  </si>
  <si>
    <t>300K</t>
  </si>
  <si>
    <t>BGP- Total FIB Routes/Size</t>
  </si>
  <si>
    <t>150K</t>
  </si>
  <si>
    <t>BGP: Peers</t>
  </si>
  <si>
    <t>OSPF:Number of Routes</t>
  </si>
  <si>
    <t>OSPF:Number of Adjacencies</t>
  </si>
  <si>
    <t>Max FW HTTP concurrent Session capacity</t>
  </si>
  <si>
    <t>Max AppControl Sessions(unified policy)</t>
  </si>
  <si>
    <t>MAX IDP(Rec policy) Sessions capacity</t>
  </si>
  <si>
    <t>Max UTM-EWF Sessions capacity</t>
  </si>
  <si>
    <t>Max UTM-NG-WF Sessions capacity</t>
  </si>
  <si>
    <t>Max UTM- Sophos AV sessions capacity</t>
  </si>
  <si>
    <t>Max Sky ATP session capacity</t>
  </si>
  <si>
    <t>PR 1957107</t>
  </si>
  <si>
    <t>Max SSL Inspection sessions(TLS1.2)</t>
  </si>
  <si>
    <t>Max SSL Inspection sessions(TLS1.3)</t>
  </si>
  <si>
    <t>Measure Device boot time(seconds)</t>
  </si>
  <si>
    <t>234 sec</t>
  </si>
  <si>
    <t>NA</t>
  </si>
  <si>
    <t>Measure device commit time with baseline config(seconds)</t>
  </si>
  <si>
    <t>15 sec</t>
  </si>
  <si>
    <t>Max supported Management sessions</t>
  </si>
  <si>
    <r>
      <rPr>
        <b/>
        <u/>
        <sz val="14"/>
        <color rgb="FF000000"/>
        <rFont val="Calibri"/>
        <family val="2"/>
      </rPr>
      <t xml:space="preserve">Release: 25.4X300-202604220112.0-EVO
</t>
    </r>
    <r>
      <rPr>
        <b/>
        <sz val="14"/>
        <color rgb="FF000000"/>
        <rFont val="Calibri"/>
        <family val="2"/>
      </rPr>
      <t xml:space="preserve">
Testcase Description</t>
    </r>
  </si>
  <si>
    <t>SRX440
Tested Numbers</t>
  </si>
  <si>
    <t>2100 CPS / 1182 Mbps</t>
  </si>
  <si>
    <t>3515 CPS / 1965 Mbps</t>
  </si>
  <si>
    <t>** Has to be re-tested with more ports</t>
  </si>
  <si>
    <t>1920 CPS/ 1025 Mbos</t>
  </si>
  <si>
    <t>1085 CPS / 622 Mbps</t>
  </si>
  <si>
    <t>380 CPS / 215 Mbps</t>
  </si>
  <si>
    <t>1700 CPS / 940 Mbps</t>
  </si>
  <si>
    <t>660 CPS / 380 Mbps</t>
  </si>
  <si>
    <t>1700  CPS / 940 Mbps</t>
  </si>
  <si>
    <t>1800 CPS / 1000 Mbps</t>
  </si>
  <si>
    <t>875 CPS / 500 Mbps</t>
  </si>
  <si>
    <t>540 CPS / 310 Mbps</t>
  </si>
  <si>
    <t>530 CPS / 300 Mbps</t>
  </si>
  <si>
    <t>340 CPS / 190 Mbps</t>
  </si>
  <si>
    <t>535 CPS / 305 Mbps</t>
  </si>
  <si>
    <t>Throughput</t>
  </si>
  <si>
    <t>583 CPS / 321 Mbps</t>
  </si>
  <si>
    <t>252 CPS / 140 Mbps</t>
  </si>
  <si>
    <t>150 CPS / 82 Mbps</t>
  </si>
  <si>
    <t>211 CPS / 122 Mbps</t>
  </si>
  <si>
    <t>79 CPS / 41 Mbps</t>
  </si>
  <si>
    <t>170 CPS / 105 Mbps</t>
  </si>
  <si>
    <t>ß</t>
  </si>
  <si>
    <t>200 CPS / 115 Mbps</t>
  </si>
  <si>
    <t>140 CPS / 84 Mbps</t>
  </si>
  <si>
    <t>135 CPS / 81 Mbps</t>
  </si>
  <si>
    <t>800 TPS / 315 Mbps</t>
  </si>
  <si>
    <t>CPS</t>
  </si>
  <si>
    <t>26000 (22000)</t>
  </si>
  <si>
    <t>744.1 KPPS/500 Mbps</t>
  </si>
  <si>
    <t>735.6 KPPS/2195 Mbps</t>
  </si>
  <si>
    <t>634.9 KPPS/7812 Mbps</t>
  </si>
  <si>
    <t>731.6 KPPS/2183 Mbps</t>
  </si>
  <si>
    <t>15.3 uSec</t>
  </si>
  <si>
    <t>661.2 KPPS / 656 Mbps</t>
  </si>
  <si>
    <t>648.3 KPPS / 1934 Mbps</t>
  </si>
  <si>
    <t>762.4 KPPS/2274 Mbps</t>
  </si>
  <si>
    <t>702.1 KPPS / 2095 Mbps</t>
  </si>
  <si>
    <t>568.4 KPPS/ 1696 Mbps</t>
  </si>
  <si>
    <t>514.9 KPPS / 1537 Mbps</t>
  </si>
  <si>
    <t>414.6 KPPS / 1238 Mbps</t>
  </si>
  <si>
    <t>722.2 KPPS/2155 Mbps</t>
  </si>
  <si>
    <t>340 KPPS / 228 Mbps</t>
  </si>
  <si>
    <t>320 KPPS /954 Mbps</t>
  </si>
  <si>
    <t>310 KPPS / 1320 Mbps</t>
  </si>
  <si>
    <t>232 KPPS / 2653 Mbps</t>
  </si>
  <si>
    <t>210 KPPS / 626 Mbps</t>
  </si>
  <si>
    <t>129 uSec</t>
  </si>
  <si>
    <t>315 KPPS / 940 Mbps</t>
  </si>
  <si>
    <t>10 TPS</t>
  </si>
  <si>
    <t>RE Memory</t>
  </si>
  <si>
    <t>400K</t>
  </si>
  <si>
    <t>200K</t>
  </si>
  <si>
    <t>Max UTM- EWF Sessions capacity</t>
  </si>
  <si>
    <t>Max UTM- NG-WF Sessions capacity</t>
  </si>
  <si>
    <t>255 sec</t>
  </si>
  <si>
    <t>7 sec</t>
  </si>
  <si>
    <r>
      <rPr>
        <b/>
        <u/>
        <sz val="18"/>
        <color rgb="FF000000"/>
        <rFont val="Calibri"/>
        <family val="2"/>
        <scheme val="minor"/>
      </rPr>
      <t xml:space="preserve">Release: 25.4X300-D10-202605310154.0-EVO
</t>
    </r>
    <r>
      <rPr>
        <b/>
        <sz val="18"/>
        <color rgb="FF000000"/>
        <rFont val="Calibri"/>
        <family val="2"/>
        <scheme val="minor"/>
      </rPr>
      <t xml:space="preserve">
</t>
    </r>
  </si>
  <si>
    <t>Testcase Description</t>
  </si>
  <si>
    <t>Global data shm / Comments</t>
  </si>
  <si>
    <t>AppControl - HTTP Throughput (64KB)</t>
  </si>
  <si>
    <t>1650 CPS / 920 Mbps</t>
  </si>
  <si>
    <t>2000 CPS / 1350 Mbps</t>
  </si>
  <si>
    <t>AppControl - HTTP  CPS (64B)</t>
  </si>
  <si>
    <t>2400 CPS</t>
  </si>
  <si>
    <t>3000 CPS</t>
  </si>
  <si>
    <t>AppControl + SSL(TLS1.2) - HTTPS Throughput (64KB)</t>
  </si>
  <si>
    <t>240 CPS / 140 Mbps</t>
  </si>
  <si>
    <t>PR 1954277 </t>
  </si>
  <si>
    <r>
      <rPr>
        <b/>
        <u/>
        <sz val="18"/>
        <color rgb="FF000000"/>
        <rFont val="Calibri"/>
        <family val="2"/>
        <scheme val="minor"/>
      </rPr>
      <t xml:space="preserve">Release: 25.4X300-202605180407.0-EVO
</t>
    </r>
    <r>
      <rPr>
        <b/>
        <sz val="18"/>
        <color rgb="FF000000"/>
        <rFont val="Calibri"/>
        <family val="2"/>
        <scheme val="minor"/>
      </rPr>
      <t xml:space="preserve">
</t>
    </r>
  </si>
  <si>
    <t>1650 CPS/928 Mbps</t>
  </si>
  <si>
    <t>240 CPS / 139 Mbps</t>
  </si>
  <si>
    <r>
      <rPr>
        <b/>
        <u/>
        <sz val="18"/>
        <color rgb="FF000000"/>
        <rFont val="Calibri"/>
        <family val="2"/>
      </rPr>
      <t xml:space="preserve">Release: 25.4X300-D10-202606040154.0-EVO
</t>
    </r>
    <r>
      <rPr>
        <b/>
        <sz val="18"/>
        <color rgb="FF000000"/>
        <rFont val="Calibri"/>
        <family val="2"/>
      </rPr>
      <t xml:space="preserve">
</t>
    </r>
  </si>
  <si>
    <t>1650  CPS / 920 Mbps</t>
  </si>
  <si>
    <t>170 CPS / 96 Mbps</t>
  </si>
  <si>
    <t>215 CPS /115 Mbps</t>
  </si>
  <si>
    <t>There are spikes seen, expected is 370 CPS. Ravi is checking if dpdk upgrade has caused any issues and it is applicable to all ssl cases.</t>
  </si>
  <si>
    <t>AppControl + SSL(TLS1.2) - HTTPS CPS(64B)</t>
  </si>
  <si>
    <t>300 CPS</t>
  </si>
  <si>
    <t>350 CPS</t>
  </si>
  <si>
    <t>Release: 25.4X300-D10.2-EVO</t>
  </si>
  <si>
    <t>1650 CPS / 926 Mbps</t>
  </si>
  <si>
    <t>2100 CPS / 1150 Mbps</t>
  </si>
  <si>
    <t>2390 CPS</t>
  </si>
  <si>
    <t>168 CPS / 95 Mbps</t>
  </si>
  <si>
    <t>210 CPS/120 Mbps</t>
  </si>
  <si>
    <t>310 KPPS / 925 Mbps</t>
  </si>
  <si>
    <t>310 CPS</t>
  </si>
  <si>
    <t>345 CPS</t>
  </si>
  <si>
    <t>Release: 25.4X300-202606240112.0-EVO</t>
  </si>
  <si>
    <t>3050 CPS</t>
  </si>
  <si>
    <t>Release: 25.4X300-202607011007.0-EVO</t>
  </si>
  <si>
    <t>2108 CPS / 1151 Mbps</t>
  </si>
  <si>
    <t>2380 CPS</t>
  </si>
  <si>
    <t>170 CPS / 95 Mbps</t>
  </si>
  <si>
    <t>210 CPS/118 Mbps</t>
  </si>
  <si>
    <t>311 CPS</t>
  </si>
  <si>
    <t>348 CPS</t>
  </si>
  <si>
    <t>Release: 25.4X300-202607080112.0-EVO</t>
  </si>
  <si>
    <t>200 CPS / 110 Mbps</t>
  </si>
  <si>
    <t>649 KPPS / 437 Mbps</t>
  </si>
  <si>
    <t>740 KPPS/497 Mbps</t>
  </si>
  <si>
    <t>308 CPS</t>
  </si>
  <si>
    <t xml:space="preserve">345 CPS </t>
  </si>
  <si>
    <r>
      <rPr>
        <b/>
        <u/>
        <sz val="14"/>
        <color rgb="FF000000"/>
        <rFont val="Calibri"/>
        <family val="2"/>
      </rPr>
      <t xml:space="preserve">Release: 25.4X300-202604130112.0-EVO
</t>
    </r>
    <r>
      <rPr>
        <b/>
        <sz val="14"/>
        <color rgb="FF000000"/>
        <rFont val="Calibri"/>
        <family val="2"/>
      </rPr>
      <t xml:space="preserve">
Testcase Description</t>
    </r>
  </si>
  <si>
    <t xml:space="preserve">Basic Firewall </t>
  </si>
  <si>
    <t>Firewall+ AppControl(unified policy) with ASC enabled</t>
  </si>
  <si>
    <t>Firewall+ AppControl(unified policy)</t>
  </si>
  <si>
    <t xml:space="preserve">Firewall+ IPv6 AppControl(Unified policy) </t>
  </si>
  <si>
    <t>1000 CPS, 570 Mbps</t>
  </si>
  <si>
    <t>CPU:82, Global data shm: 84</t>
  </si>
  <si>
    <t>350 CPS, 200 Mbps</t>
  </si>
  <si>
    <t>CPU: 82, Global data shm: 84</t>
  </si>
  <si>
    <t>AppControl + SkyATP -Block mode</t>
  </si>
  <si>
    <t>AppControl + UTM Avira-Light mode</t>
  </si>
  <si>
    <t xml:space="preserve">AppControl + UTM Avira- Heavy mode </t>
  </si>
  <si>
    <t>AppControl + SecIntel+ IDP-Rec + SkyATP Block</t>
  </si>
  <si>
    <t xml:space="preserve">AppControl + SecIntel+ IDP-Rec + UTM EWF + SkyATP Block </t>
  </si>
  <si>
    <t xml:space="preserve">AppControl + SecIntel+ IDP-Rec + SkyATP Block + DNS </t>
  </si>
  <si>
    <t>215 CPS, 125 Mbps</t>
  </si>
  <si>
    <t>CPU: 81, Global data shm: 76</t>
  </si>
  <si>
    <t>190 CPS, 110 Mbps</t>
  </si>
  <si>
    <t>CPU: 75, Global data shm: 75</t>
  </si>
  <si>
    <t>60 CPS, 34 Mbps</t>
  </si>
  <si>
    <t>CPU: 70, Global data shm: 64</t>
  </si>
  <si>
    <t>AppControl + SSL + SkyATP Block</t>
  </si>
  <si>
    <t xml:space="preserve">AppControl + SSL + SecIntel + IDP Rec + SkyATP Block </t>
  </si>
  <si>
    <t>AppControl + SSL + SecIntel + IDP Rec + UTM EWF + SkyATP Block</t>
  </si>
  <si>
    <t>11000 CPS</t>
  </si>
  <si>
    <t>CPU: 80, Global data shm: 84</t>
  </si>
  <si>
    <t>2800 CPS</t>
  </si>
  <si>
    <t>CPU: 81, Global Data shm: 81</t>
  </si>
  <si>
    <t>230 CPS</t>
  </si>
  <si>
    <t>CPU: 38, Global Data Shm: 78</t>
  </si>
  <si>
    <r>
      <rPr>
        <b/>
        <u/>
        <sz val="20"/>
        <color rgb="FF000000"/>
        <rFont val="Calibri"/>
        <family val="2"/>
        <scheme val="minor"/>
      </rPr>
      <t xml:space="preserve">Release: 25.4X300-202604130112.0-EVO
</t>
    </r>
    <r>
      <rPr>
        <b/>
        <sz val="20"/>
        <color rgb="FF000000"/>
        <rFont val="Calibri"/>
        <family val="2"/>
        <scheme val="minor"/>
      </rPr>
      <t xml:space="preserve">
Testcase Description</t>
    </r>
  </si>
  <si>
    <t>SRX440</t>
  </si>
  <si>
    <t>SRX400</t>
  </si>
  <si>
    <t>Firewall throughput (IMIX)</t>
  </si>
  <si>
    <t>675.6 KPPS/2016 Mbps</t>
  </si>
  <si>
    <t>601.8 KPPS / 1796 Mbps</t>
  </si>
  <si>
    <t>Firewall throughput (1518B)</t>
  </si>
  <si>
    <t>595.2 KPPS/7324 Mbps</t>
  </si>
  <si>
    <t>IPSec VPN throughput (IMIX)</t>
  </si>
  <si>
    <t>PR 1954277</t>
  </si>
  <si>
    <t>IPSec VPN throughput (1400B)</t>
  </si>
  <si>
    <t>Application security performance (CPS)</t>
  </si>
  <si>
    <t>2077 CPS / 1169 Mbps</t>
  </si>
  <si>
    <t>1611 CPS /891 Mbps</t>
  </si>
  <si>
    <t>Next-generation firewall (CPS)</t>
  </si>
  <si>
    <t>1039 CPS / 596 Mbps</t>
  </si>
  <si>
    <t>829 CPS / 464 Mbps</t>
  </si>
  <si>
    <t>Next-generation firewall performance is measured with firewall, application security, and IPS enabled</t>
  </si>
  <si>
    <t>Secure Web Access Firewall (CPS)</t>
  </si>
  <si>
    <t>762 CPS / 421 Mbps</t>
  </si>
  <si>
    <t>Secure Web Access firewall performance is measured with firewall, application security, IPS, SecIntel, and URL filtering enabled</t>
  </si>
  <si>
    <t>Advanced Threat (CPS)</t>
  </si>
  <si>
    <t>507 CPS / 287 Mbps</t>
  </si>
  <si>
    <t>405 CPS / 216 Mbps</t>
  </si>
  <si>
    <t>Advanced Threat performance is measured with Firewall, Application Security, IPS, SecIntel, URL Filtering and Malware Protection enabled</t>
  </si>
  <si>
    <t>Connections per second (64B)</t>
  </si>
  <si>
    <t>SSL connections per second</t>
  </si>
  <si>
    <t>Maximum concurrent sessions (IPv4 or IPv6)</t>
  </si>
  <si>
    <t>Route table size (RIB) (IPv4)</t>
  </si>
  <si>
    <t>Route table size (FIB) (IPv4)</t>
  </si>
  <si>
    <t>Data Sheet</t>
  </si>
  <si>
    <t>Features- Branch SRX</t>
  </si>
  <si>
    <t>Firewall- packet mode throughput (IMIX) (Mbps)</t>
  </si>
  <si>
    <r>
      <t>Firewall throughput (IMIX)</t>
    </r>
    <r>
      <rPr>
        <i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 (Mbps)</t>
    </r>
  </si>
  <si>
    <r>
      <t>Firewall throughput (1518B)</t>
    </r>
    <r>
      <rPr>
        <i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 (Mbps)</t>
    </r>
  </si>
  <si>
    <r>
      <t>IPSec VPN throughput (IMIX)</t>
    </r>
    <r>
      <rPr>
        <i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 (Mbps)</t>
    </r>
  </si>
  <si>
    <r>
      <t>IPSec VPN throughput (1400B)</t>
    </r>
    <r>
      <rPr>
        <i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 (Mbps)</t>
    </r>
  </si>
  <si>
    <r>
      <t>Application Control Performance (CPS</t>
    </r>
    <r>
      <rPr>
        <i/>
        <sz val="11"/>
        <color theme="1"/>
        <rFont val="Calibri"/>
        <family val="2"/>
        <scheme val="minor"/>
      </rPr>
      <t>**</t>
    </r>
    <r>
      <rPr>
        <sz val="11"/>
        <color theme="1"/>
        <rFont val="Calibri"/>
        <family val="2"/>
        <scheme val="minor"/>
      </rPr>
      <t>) (Mbps)</t>
    </r>
  </si>
  <si>
    <r>
      <t>Next-Generation Firewall (CPS</t>
    </r>
    <r>
      <rPr>
        <i/>
        <sz val="11"/>
        <color theme="1"/>
        <rFont val="Calibri"/>
        <family val="2"/>
        <scheme val="minor"/>
      </rPr>
      <t>**</t>
    </r>
    <r>
      <rPr>
        <sz val="11"/>
        <color theme="1"/>
        <rFont val="Calibri"/>
        <family val="2"/>
        <scheme val="minor"/>
      </rPr>
      <t>)</t>
    </r>
    <r>
      <rPr>
        <i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 (Mbps)</t>
    </r>
  </si>
  <si>
    <r>
      <t>Secure Web Access Firewall (CPS</t>
    </r>
    <r>
      <rPr>
        <i/>
        <sz val="11"/>
        <color theme="1"/>
        <rFont val="Calibri"/>
        <family val="2"/>
        <scheme val="minor"/>
      </rPr>
      <t>**</t>
    </r>
    <r>
      <rPr>
        <sz val="11"/>
        <color theme="1"/>
        <rFont val="Calibri"/>
        <family val="2"/>
        <scheme val="minor"/>
      </rPr>
      <t>)</t>
    </r>
    <r>
      <rPr>
        <i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 (Mbps)</t>
    </r>
  </si>
  <si>
    <r>
      <t>Advanced Threat (CPS</t>
    </r>
    <r>
      <rPr>
        <i/>
        <sz val="11"/>
        <color theme="1"/>
        <rFont val="Calibri"/>
        <family val="2"/>
        <scheme val="minor"/>
      </rPr>
      <t>**</t>
    </r>
    <r>
      <rPr>
        <sz val="11"/>
        <color theme="1"/>
        <rFont val="Calibri"/>
        <family val="2"/>
        <scheme val="minor"/>
      </rPr>
      <t>)</t>
    </r>
    <r>
      <rPr>
        <i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 (Mbps)</t>
    </r>
  </si>
  <si>
    <t>Connections Per Second (64B)</t>
  </si>
  <si>
    <t>            20,000 </t>
  </si>
  <si>
    <t>            25,000</t>
  </si>
  <si>
    <t>Maximum Concurrent Sessions (IPv4 or IPv6)</t>
  </si>
  <si>
    <t>            65,000 </t>
  </si>
  <si>
    <t>            85,000</t>
  </si>
  <si>
    <t>Route table size (RIB/FIB) (IPv4)</t>
  </si>
  <si>
    <t>300K/150K</t>
  </si>
  <si>
    <t>350K/175K</t>
  </si>
  <si>
    <t>IPSec VPN tunnels</t>
  </si>
  <si>
    <t>320 KPPS / 950 Mbps</t>
  </si>
  <si>
    <t>350 KPPS / 1040 Mbps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</si>
</sst>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44444"/>
      <name val="Calibri"/>
      <family val="2"/>
      <charset val="1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  <scheme val="minor"/>
    </font>
    <font>
      <b/>
      <sz val="14"/>
      <color rgb="FF000000"/>
      <name val="Calibri"/>
      <family val="2"/>
    </font>
    <font>
      <b/>
      <u/>
      <sz val="14"/>
      <color rgb="FF000000"/>
      <name val="Calibri"/>
      <family val="2"/>
    </font>
    <font>
      <sz val="11"/>
      <color rgb="FFFF0000"/>
      <name val="Calibri"/>
      <family val="2"/>
      <scheme val="minor"/>
    </font>
    <font>
      <sz val="12"/>
      <color rgb="FF9C0006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u/>
      <sz val="20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6"/>
      <color rgb="FF9C0006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u/>
      <sz val="18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000000"/>
      <name val="Calibri"/>
      <family val="2"/>
      <scheme val="minor"/>
    </font>
    <font>
      <sz val="18"/>
      <color rgb="FFFF0000"/>
      <name val="Calibri"/>
      <family val="2"/>
      <scheme val="minor"/>
    </font>
    <font>
      <b/>
      <u/>
      <sz val="18"/>
      <color rgb="FF000000"/>
      <name val="Calibri"/>
      <family val="2"/>
    </font>
    <font>
      <b/>
      <sz val="18"/>
      <color rgb="FF000000"/>
      <name val="Calibri"/>
      <family val="2"/>
    </font>
    <font>
      <b/>
      <sz val="11"/>
      <color rgb="FFFFFFFF"/>
      <name val="Calibri"/>
      <family val="2"/>
    </font>
    <font>
      <u/>
      <sz val="11"/>
      <color rgb="FF0563C1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00808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0" fillId="6" borderId="0" applyNumberFormat="0" applyBorder="0" applyAlignment="0" applyProtection="0"/>
  </cellStyleXfs>
  <cellXfs count="107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4" fillId="2" borderId="1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0" fillId="0" borderId="6" xfId="0" applyBorder="1" applyAlignment="1">
      <alignment horizontal="center"/>
    </xf>
    <xf numFmtId="0" fontId="4" fillId="0" borderId="0" xfId="0" applyFont="1"/>
    <xf numFmtId="0" fontId="1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top" wrapText="1"/>
    </xf>
    <xf numFmtId="0" fontId="1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0" xfId="0" applyFont="1"/>
    <xf numFmtId="0" fontId="5" fillId="2" borderId="1" xfId="0" applyFont="1" applyFill="1" applyBorder="1" applyAlignment="1">
      <alignment horizontal="left" wrapText="1"/>
    </xf>
    <xf numFmtId="0" fontId="5" fillId="2" borderId="5" xfId="0" applyFont="1" applyFill="1" applyBorder="1" applyAlignment="1">
      <alignment horizontal="left" wrapText="1"/>
    </xf>
    <xf numFmtId="0" fontId="1" fillId="5" borderId="3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2" borderId="5" xfId="0" applyFill="1" applyBorder="1" applyAlignment="1">
      <alignment vertical="center" wrapText="1"/>
    </xf>
    <xf numFmtId="0" fontId="0" fillId="2" borderId="6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1" fillId="5" borderId="2" xfId="0" applyFont="1" applyFill="1" applyBorder="1"/>
    <xf numFmtId="0" fontId="1" fillId="3" borderId="2" xfId="0" applyFont="1" applyFill="1" applyBorder="1"/>
    <xf numFmtId="0" fontId="1" fillId="5" borderId="7" xfId="0" applyFont="1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 wrapText="1"/>
    </xf>
    <xf numFmtId="0" fontId="1" fillId="3" borderId="6" xfId="0" applyFont="1" applyFill="1" applyBorder="1"/>
    <xf numFmtId="0" fontId="1" fillId="3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0" fillId="2" borderId="3" xfId="0" applyFill="1" applyBorder="1" applyAlignment="1">
      <alignment vertical="center" wrapText="1"/>
    </xf>
    <xf numFmtId="0" fontId="0" fillId="0" borderId="8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2" borderId="12" xfId="0" applyFill="1" applyBorder="1" applyAlignment="1">
      <alignment horizontal="center"/>
    </xf>
    <xf numFmtId="0" fontId="7" fillId="4" borderId="6" xfId="0" applyFont="1" applyFill="1" applyBorder="1" applyAlignment="1">
      <alignment horizontal="left" vertical="top" wrapText="1"/>
    </xf>
    <xf numFmtId="0" fontId="4" fillId="0" borderId="6" xfId="0" applyFont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2" fillId="0" borderId="16" xfId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3" borderId="6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 wrapText="1"/>
    </xf>
    <xf numFmtId="0" fontId="5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11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horizontal="center"/>
    </xf>
    <xf numFmtId="0" fontId="12" fillId="4" borderId="6" xfId="0" applyFont="1" applyFill="1" applyBorder="1" applyAlignment="1">
      <alignment horizontal="left" vertical="top" wrapText="1"/>
    </xf>
    <xf numFmtId="0" fontId="14" fillId="4" borderId="6" xfId="0" applyFont="1" applyFill="1" applyBorder="1" applyAlignment="1">
      <alignment horizontal="center" vertical="center" wrapText="1"/>
    </xf>
    <xf numFmtId="0" fontId="14" fillId="4" borderId="6" xfId="0" applyFont="1" applyFill="1" applyBorder="1" applyAlignment="1">
      <alignment horizontal="center" vertical="center"/>
    </xf>
    <xf numFmtId="0" fontId="15" fillId="6" borderId="1" xfId="2" applyFont="1" applyBorder="1" applyAlignment="1">
      <alignment horizontal="center"/>
    </xf>
    <xf numFmtId="0" fontId="16" fillId="4" borderId="6" xfId="0" applyFont="1" applyFill="1" applyBorder="1" applyAlignment="1">
      <alignment horizontal="left" vertical="top" wrapText="1"/>
    </xf>
    <xf numFmtId="0" fontId="18" fillId="4" borderId="6" xfId="0" applyFont="1" applyFill="1" applyBorder="1" applyAlignment="1">
      <alignment horizontal="center" vertical="center"/>
    </xf>
    <xf numFmtId="0" fontId="19" fillId="0" borderId="0" xfId="0" applyFont="1"/>
    <xf numFmtId="0" fontId="18" fillId="3" borderId="6" xfId="0" applyFont="1" applyFill="1" applyBorder="1"/>
    <xf numFmtId="0" fontId="18" fillId="3" borderId="6" xfId="0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0" borderId="5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1" xfId="0" applyFont="1" applyBorder="1" applyAlignment="1">
      <alignment horizontal="center" wrapText="1"/>
    </xf>
    <xf numFmtId="0" fontId="20" fillId="0" borderId="1" xfId="0" applyFont="1" applyBorder="1" applyAlignment="1">
      <alignment horizontal="center" wrapText="1"/>
    </xf>
    <xf numFmtId="0" fontId="19" fillId="0" borderId="2" xfId="0" applyFont="1" applyBorder="1" applyAlignment="1">
      <alignment horizontal="center"/>
    </xf>
    <xf numFmtId="0" fontId="19" fillId="2" borderId="6" xfId="0" applyFont="1" applyFill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20" fillId="2" borderId="1" xfId="0" applyFont="1" applyFill="1" applyBorder="1" applyAlignment="1">
      <alignment vertical="top" wrapText="1"/>
    </xf>
    <xf numFmtId="0" fontId="19" fillId="2" borderId="10" xfId="0" applyFont="1" applyFill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2" borderId="12" xfId="0" applyFont="1" applyFill="1" applyBorder="1" applyAlignment="1">
      <alignment horizontal="center"/>
    </xf>
    <xf numFmtId="0" fontId="20" fillId="2" borderId="1" xfId="0" applyFont="1" applyFill="1" applyBorder="1" applyAlignment="1">
      <alignment vertical="center" wrapText="1"/>
    </xf>
    <xf numFmtId="0" fontId="21" fillId="0" borderId="6" xfId="0" applyFont="1" applyBorder="1" applyAlignment="1">
      <alignment horizontal="center"/>
    </xf>
    <xf numFmtId="0" fontId="23" fillId="4" borderId="6" xfId="0" applyFont="1" applyFill="1" applyBorder="1" applyAlignment="1">
      <alignment horizontal="left" vertical="top" wrapText="1"/>
    </xf>
    <xf numFmtId="0" fontId="19" fillId="2" borderId="2" xfId="0" applyFont="1" applyFill="1" applyBorder="1" applyAlignment="1">
      <alignment vertical="center" wrapText="1"/>
    </xf>
    <xf numFmtId="0" fontId="19" fillId="0" borderId="6" xfId="0" applyFont="1" applyBorder="1" applyAlignment="1">
      <alignment horizontal="center"/>
    </xf>
    <xf numFmtId="0" fontId="24" fillId="7" borderId="0" xfId="0" applyFont="1" applyFill="1"/>
    <xf numFmtId="0" fontId="25" fillId="0" borderId="0" xfId="0" applyFont="1"/>
    <xf numFmtId="0" fontId="19" fillId="0" borderId="0" xfId="0" applyFont="1" applyAlignment="1">
      <alignment horizontal="center"/>
    </xf>
    <xf numFmtId="0" fontId="26" fillId="0" borderId="0" xfId="0" applyFont="1"/>
    <xf numFmtId="0" fontId="18" fillId="4" borderId="17" xfId="0" applyFont="1" applyFill="1" applyBorder="1" applyAlignment="1">
      <alignment horizontal="center" vertical="center" wrapText="1"/>
    </xf>
    <xf numFmtId="0" fontId="18" fillId="4" borderId="10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1" fillId="4" borderId="10" xfId="0" applyFont="1" applyFill="1" applyBorder="1" applyAlignment="1">
      <alignment horizontal="center" vertical="center" wrapText="1"/>
    </xf>
  </cellXfs>
  <cellStyles count="3">
    <cellStyle name="Bad" xfId="2" builtinId="27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F05EA-6A87-7646-9D66-36E81A856E36}">
  <sheetPr filterMode="1"/>
  <dimension ref="A1:I224"/>
  <sheetViews>
    <sheetView tabSelected="1" zoomScale="120" zoomScaleNormal="120" workbookViewId="0">
      <selection activeCell="G153" sqref="A153:G186"/>
    </sheetView>
  </sheetViews>
  <sheetFormatPr baseColWidth="10" defaultColWidth="11.5" defaultRowHeight="15" x14ac:dyDescent="0.2"/>
  <cols>
    <col min="1" max="1" width="10.6640625" bestFit="1" customWidth="1"/>
    <col min="2" max="2" width="97.5" customWidth="1"/>
    <col min="3" max="3" width="32.6640625" bestFit="1" customWidth="1"/>
    <col min="4" max="4" width="23.33203125" customWidth="1"/>
    <col min="5" max="5" width="16.83203125" customWidth="1"/>
    <col min="6" max="6" width="9.5" bestFit="1" customWidth="1"/>
    <col min="7" max="7" width="46.83203125" customWidth="1"/>
    <col min="8" max="8" width="22.1640625" customWidth="1"/>
    <col min="9" max="9" width="15.6640625" customWidth="1"/>
  </cols>
  <sheetData>
    <row r="1" spans="1:9" x14ac:dyDescent="0.2">
      <c r="A1" s="99" t="s">
        <v>0</v>
      </c>
      <c r="B1" s="99" t="s">
        <v>1</v>
      </c>
      <c r="C1" s="99" t="s">
        <v>2</v>
      </c>
      <c r="D1" s="99" t="s">
        <v>3</v>
      </c>
      <c r="E1" s="99" t="s">
        <v>4</v>
      </c>
      <c r="F1" s="99" t="s">
        <v>5</v>
      </c>
      <c r="G1" s="99" t="s">
        <v>6</v>
      </c>
      <c r="H1" s="99" t="s">
        <v>7</v>
      </c>
      <c r="I1" s="99" t="s">
        <v>8</v>
      </c>
    </row>
    <row r="2" spans="1:9" hidden="1" x14ac:dyDescent="0.2">
      <c r="A2" s="100" t="str">
        <f>HYPERLINK("https://gnats.juniper.net/web/default/1915273-1", "1915273-1")</f>
        <v>1915273-1</v>
      </c>
      <c r="B2" t="s">
        <v>9</v>
      </c>
      <c r="C2" t="s">
        <v>10</v>
      </c>
      <c r="D2" t="s">
        <v>11</v>
      </c>
      <c r="E2" t="s">
        <v>12</v>
      </c>
      <c r="G2" t="s">
        <v>13</v>
      </c>
      <c r="H2" t="s">
        <v>14</v>
      </c>
      <c r="I2" t="s">
        <v>15</v>
      </c>
    </row>
    <row r="3" spans="1:9" hidden="1" x14ac:dyDescent="0.2">
      <c r="A3" s="100" t="str">
        <f>HYPERLINK("https://gnats.juniper.net/web/default/1915273-2", "1915273-2")</f>
        <v>1915273-2</v>
      </c>
      <c r="B3" t="s">
        <v>9</v>
      </c>
      <c r="C3" t="s">
        <v>10</v>
      </c>
      <c r="D3" t="s">
        <v>11</v>
      </c>
      <c r="E3" t="s">
        <v>12</v>
      </c>
      <c r="G3" t="s">
        <v>10</v>
      </c>
      <c r="H3" t="s">
        <v>14</v>
      </c>
      <c r="I3" t="s">
        <v>15</v>
      </c>
    </row>
    <row r="4" spans="1:9" hidden="1" x14ac:dyDescent="0.2">
      <c r="A4" s="100" t="str">
        <f>HYPERLINK("https://gnats.juniper.net/web/default/1915273-3", "1915273-3")</f>
        <v>1915273-3</v>
      </c>
      <c r="B4" t="s">
        <v>9</v>
      </c>
      <c r="C4" t="s">
        <v>16</v>
      </c>
      <c r="D4" t="s">
        <v>11</v>
      </c>
      <c r="E4" t="s">
        <v>12</v>
      </c>
      <c r="G4" t="s">
        <v>17</v>
      </c>
      <c r="H4" t="s">
        <v>14</v>
      </c>
      <c r="I4" t="s">
        <v>15</v>
      </c>
    </row>
    <row r="5" spans="1:9" hidden="1" x14ac:dyDescent="0.2">
      <c r="A5" s="100" t="str">
        <f>HYPERLINK("https://gnats.juniper.net/web/default/1915273-4", "1915273-4")</f>
        <v>1915273-4</v>
      </c>
      <c r="B5" t="s">
        <v>9</v>
      </c>
      <c r="D5" t="s">
        <v>11</v>
      </c>
      <c r="E5" t="s">
        <v>12</v>
      </c>
      <c r="G5" t="s">
        <v>16</v>
      </c>
      <c r="H5" t="s">
        <v>14</v>
      </c>
      <c r="I5" t="s">
        <v>18</v>
      </c>
    </row>
    <row r="6" spans="1:9" hidden="1" x14ac:dyDescent="0.2">
      <c r="A6" s="100" t="str">
        <f>HYPERLINK("https://gnats.juniper.net/web/default/1926402-1", "1926402-1")</f>
        <v>1926402-1</v>
      </c>
      <c r="B6" t="s">
        <v>19</v>
      </c>
      <c r="C6" t="s">
        <v>13</v>
      </c>
      <c r="D6" t="s">
        <v>20</v>
      </c>
      <c r="E6" t="s">
        <v>12</v>
      </c>
      <c r="G6" t="s">
        <v>13</v>
      </c>
      <c r="H6" t="s">
        <v>14</v>
      </c>
      <c r="I6" t="s">
        <v>21</v>
      </c>
    </row>
    <row r="7" spans="1:9" hidden="1" x14ac:dyDescent="0.2">
      <c r="A7" s="100" t="str">
        <f>HYPERLINK("https://gnats.juniper.net/web/default/1926402-2", "1926402-2")</f>
        <v>1926402-2</v>
      </c>
      <c r="B7" t="s">
        <v>19</v>
      </c>
      <c r="C7" t="s">
        <v>17</v>
      </c>
      <c r="D7" t="s">
        <v>20</v>
      </c>
      <c r="E7" t="s">
        <v>12</v>
      </c>
      <c r="F7" t="s">
        <v>22</v>
      </c>
      <c r="G7" t="s">
        <v>17</v>
      </c>
      <c r="H7" t="s">
        <v>14</v>
      </c>
      <c r="I7" t="s">
        <v>21</v>
      </c>
    </row>
    <row r="8" spans="1:9" hidden="1" x14ac:dyDescent="0.2">
      <c r="A8" s="100" t="str">
        <f>HYPERLINK("https://gnats.juniper.net/web/default/1926402-3", "1926402-3")</f>
        <v>1926402-3</v>
      </c>
      <c r="B8" t="s">
        <v>19</v>
      </c>
      <c r="C8" t="s">
        <v>16</v>
      </c>
      <c r="D8" t="s">
        <v>20</v>
      </c>
      <c r="E8" t="s">
        <v>12</v>
      </c>
      <c r="F8" t="s">
        <v>22</v>
      </c>
      <c r="G8" t="s">
        <v>16</v>
      </c>
      <c r="H8" t="s">
        <v>14</v>
      </c>
      <c r="I8" t="s">
        <v>18</v>
      </c>
    </row>
    <row r="9" spans="1:9" hidden="1" x14ac:dyDescent="0.2">
      <c r="A9" s="100" t="str">
        <f>HYPERLINK("https://gnats.juniper.net/web/default/1926402-4", "1926402-4")</f>
        <v>1926402-4</v>
      </c>
      <c r="B9" t="s">
        <v>19</v>
      </c>
      <c r="D9" t="s">
        <v>20</v>
      </c>
      <c r="E9" t="s">
        <v>12</v>
      </c>
      <c r="G9" t="s">
        <v>10</v>
      </c>
      <c r="H9" t="s">
        <v>14</v>
      </c>
      <c r="I9" t="s">
        <v>18</v>
      </c>
    </row>
    <row r="10" spans="1:9" hidden="1" x14ac:dyDescent="0.2">
      <c r="A10" s="100" t="str">
        <f>HYPERLINK("https://gnats.juniper.net/web/default/1926405-1", "1926405-1")</f>
        <v>1926405-1</v>
      </c>
      <c r="B10" t="s">
        <v>23</v>
      </c>
      <c r="C10" t="s">
        <v>13</v>
      </c>
      <c r="D10" t="s">
        <v>11</v>
      </c>
      <c r="E10" t="s">
        <v>12</v>
      </c>
      <c r="G10" t="s">
        <v>13</v>
      </c>
      <c r="H10" t="s">
        <v>14</v>
      </c>
      <c r="I10" t="s">
        <v>24</v>
      </c>
    </row>
    <row r="11" spans="1:9" hidden="1" x14ac:dyDescent="0.2">
      <c r="A11" s="100" t="str">
        <f>HYPERLINK("https://gnats.juniper.net/web/default/1926405-2", "1926405-2")</f>
        <v>1926405-2</v>
      </c>
      <c r="B11" t="s">
        <v>23</v>
      </c>
      <c r="C11" t="s">
        <v>13</v>
      </c>
      <c r="D11" t="s">
        <v>11</v>
      </c>
      <c r="E11" t="s">
        <v>12</v>
      </c>
      <c r="G11" t="s">
        <v>16</v>
      </c>
      <c r="H11" t="s">
        <v>14</v>
      </c>
      <c r="I11" t="s">
        <v>18</v>
      </c>
    </row>
    <row r="12" spans="1:9" hidden="1" x14ac:dyDescent="0.2">
      <c r="A12" s="100" t="str">
        <f>HYPERLINK("https://gnats.juniper.net/web/default/1926405-3", "1926405-3")</f>
        <v>1926405-3</v>
      </c>
      <c r="B12" t="s">
        <v>23</v>
      </c>
      <c r="C12" t="s">
        <v>13</v>
      </c>
      <c r="D12" t="s">
        <v>11</v>
      </c>
      <c r="E12" t="s">
        <v>12</v>
      </c>
      <c r="G12" t="s">
        <v>17</v>
      </c>
      <c r="H12" t="s">
        <v>14</v>
      </c>
      <c r="I12" t="s">
        <v>24</v>
      </c>
    </row>
    <row r="13" spans="1:9" hidden="1" x14ac:dyDescent="0.2">
      <c r="A13" s="100" t="str">
        <f>HYPERLINK("https://gnats.juniper.net/web/default/1926480-1", "1926480-1")</f>
        <v>1926480-1</v>
      </c>
      <c r="B13" t="s">
        <v>25</v>
      </c>
      <c r="C13" t="s">
        <v>13</v>
      </c>
      <c r="D13" t="s">
        <v>11</v>
      </c>
      <c r="E13" t="s">
        <v>26</v>
      </c>
      <c r="F13" t="s">
        <v>27</v>
      </c>
      <c r="G13" t="s">
        <v>13</v>
      </c>
      <c r="H13" t="s">
        <v>14</v>
      </c>
      <c r="I13" t="s">
        <v>28</v>
      </c>
    </row>
    <row r="14" spans="1:9" hidden="1" x14ac:dyDescent="0.2">
      <c r="A14" s="100" t="str">
        <f>HYPERLINK("https://gnats.juniper.net/web/default/1926480-2", "1926480-2")</f>
        <v>1926480-2</v>
      </c>
      <c r="B14" t="s">
        <v>25</v>
      </c>
      <c r="C14" t="s">
        <v>13</v>
      </c>
      <c r="D14" t="s">
        <v>11</v>
      </c>
      <c r="E14" t="s">
        <v>26</v>
      </c>
      <c r="F14" t="s">
        <v>29</v>
      </c>
      <c r="G14" t="s">
        <v>16</v>
      </c>
      <c r="H14" t="s">
        <v>14</v>
      </c>
      <c r="I14" t="s">
        <v>18</v>
      </c>
    </row>
    <row r="15" spans="1:9" hidden="1" x14ac:dyDescent="0.2">
      <c r="A15" s="100" t="str">
        <f>HYPERLINK("https://gnats.juniper.net/web/default/1926480-3", "1926480-3")</f>
        <v>1926480-3</v>
      </c>
      <c r="B15" t="s">
        <v>25</v>
      </c>
      <c r="C15" t="s">
        <v>13</v>
      </c>
      <c r="D15" t="s">
        <v>11</v>
      </c>
      <c r="E15" t="s">
        <v>26</v>
      </c>
      <c r="F15" t="s">
        <v>30</v>
      </c>
      <c r="G15" t="s">
        <v>17</v>
      </c>
      <c r="H15" t="s">
        <v>14</v>
      </c>
      <c r="I15" t="s">
        <v>28</v>
      </c>
    </row>
    <row r="16" spans="1:9" hidden="1" x14ac:dyDescent="0.2">
      <c r="A16" s="100" t="str">
        <f>HYPERLINK("https://gnats.juniper.net/web/default/1926480-4", "1926480-4")</f>
        <v>1926480-4</v>
      </c>
      <c r="B16" t="s">
        <v>25</v>
      </c>
      <c r="C16" t="s">
        <v>31</v>
      </c>
      <c r="D16" t="s">
        <v>11</v>
      </c>
      <c r="E16" t="s">
        <v>26</v>
      </c>
      <c r="F16" t="s">
        <v>22</v>
      </c>
      <c r="G16" t="s">
        <v>31</v>
      </c>
      <c r="H16" t="s">
        <v>14</v>
      </c>
      <c r="I16" t="s">
        <v>28</v>
      </c>
    </row>
    <row r="17" spans="1:9" hidden="1" x14ac:dyDescent="0.2">
      <c r="A17" s="100" t="str">
        <f>HYPERLINK("https://gnats.juniper.net/web/default/1926480-5", "1926480-5")</f>
        <v>1926480-5</v>
      </c>
      <c r="B17" t="s">
        <v>25</v>
      </c>
      <c r="C17" t="s">
        <v>31</v>
      </c>
      <c r="D17" t="s">
        <v>11</v>
      </c>
      <c r="E17" t="s">
        <v>26</v>
      </c>
      <c r="F17" t="s">
        <v>30</v>
      </c>
      <c r="G17" t="s">
        <v>32</v>
      </c>
      <c r="H17" t="s">
        <v>14</v>
      </c>
      <c r="I17" t="s">
        <v>28</v>
      </c>
    </row>
    <row r="18" spans="1:9" hidden="1" x14ac:dyDescent="0.2">
      <c r="A18" s="100" t="str">
        <f>HYPERLINK("https://gnats.juniper.net/web/default/1926694-1", "1926694-1")</f>
        <v>1926694-1</v>
      </c>
      <c r="B18" t="s">
        <v>33</v>
      </c>
      <c r="C18" t="s">
        <v>13</v>
      </c>
      <c r="D18" t="s">
        <v>20</v>
      </c>
      <c r="E18" t="s">
        <v>12</v>
      </c>
      <c r="G18" t="s">
        <v>13</v>
      </c>
      <c r="H18" t="s">
        <v>14</v>
      </c>
      <c r="I18" t="s">
        <v>34</v>
      </c>
    </row>
    <row r="19" spans="1:9" hidden="1" x14ac:dyDescent="0.2">
      <c r="A19" s="100" t="str">
        <f>HYPERLINK("https://gnats.juniper.net/web/default/1926779-1", "1926779-1")</f>
        <v>1926779-1</v>
      </c>
      <c r="B19" t="s">
        <v>35</v>
      </c>
      <c r="C19" t="s">
        <v>13</v>
      </c>
      <c r="D19" t="s">
        <v>11</v>
      </c>
      <c r="E19" t="s">
        <v>12</v>
      </c>
      <c r="G19" t="s">
        <v>13</v>
      </c>
      <c r="H19" t="s">
        <v>14</v>
      </c>
      <c r="I19" t="s">
        <v>18</v>
      </c>
    </row>
    <row r="20" spans="1:9" hidden="1" x14ac:dyDescent="0.2">
      <c r="A20" s="100" t="str">
        <f>HYPERLINK("https://gnats.juniper.net/web/default/1926779-2", "1926779-2")</f>
        <v>1926779-2</v>
      </c>
      <c r="B20" t="s">
        <v>35</v>
      </c>
      <c r="C20" t="s">
        <v>16</v>
      </c>
      <c r="D20" t="s">
        <v>11</v>
      </c>
      <c r="E20" t="s">
        <v>12</v>
      </c>
      <c r="G20" t="s">
        <v>17</v>
      </c>
      <c r="H20" t="s">
        <v>14</v>
      </c>
      <c r="I20" t="s">
        <v>36</v>
      </c>
    </row>
    <row r="21" spans="1:9" hidden="1" x14ac:dyDescent="0.2">
      <c r="A21" s="100" t="str">
        <f>HYPERLINK("https://gnats.juniper.net/web/default/1926779-3", "1926779-3")</f>
        <v>1926779-3</v>
      </c>
      <c r="B21" t="s">
        <v>35</v>
      </c>
      <c r="D21" t="s">
        <v>11</v>
      </c>
      <c r="E21" t="s">
        <v>12</v>
      </c>
      <c r="G21" t="s">
        <v>16</v>
      </c>
      <c r="H21" t="s">
        <v>14</v>
      </c>
      <c r="I21" t="s">
        <v>18</v>
      </c>
    </row>
    <row r="22" spans="1:9" hidden="1" x14ac:dyDescent="0.2">
      <c r="A22" s="100" t="str">
        <f>HYPERLINK("https://gnats.juniper.net/web/default/1932710-1", "1932710-1")</f>
        <v>1932710-1</v>
      </c>
      <c r="B22" t="s">
        <v>37</v>
      </c>
      <c r="C22" t="s">
        <v>13</v>
      </c>
      <c r="D22" t="s">
        <v>11</v>
      </c>
      <c r="E22" t="s">
        <v>12</v>
      </c>
      <c r="G22" t="s">
        <v>38</v>
      </c>
      <c r="H22" t="s">
        <v>14</v>
      </c>
      <c r="I22" t="s">
        <v>39</v>
      </c>
    </row>
    <row r="23" spans="1:9" hidden="1" x14ac:dyDescent="0.2">
      <c r="A23" s="100" t="str">
        <f>HYPERLINK("https://gnats.juniper.net/web/default/1932710-2", "1932710-2")</f>
        <v>1932710-2</v>
      </c>
      <c r="B23" t="s">
        <v>37</v>
      </c>
      <c r="C23" t="s">
        <v>13</v>
      </c>
      <c r="D23" t="s">
        <v>11</v>
      </c>
      <c r="E23" t="s">
        <v>12</v>
      </c>
      <c r="G23" t="s">
        <v>17</v>
      </c>
      <c r="H23" t="s">
        <v>14</v>
      </c>
      <c r="I23" t="s">
        <v>39</v>
      </c>
    </row>
    <row r="24" spans="1:9" hidden="1" x14ac:dyDescent="0.2">
      <c r="A24" s="100" t="str">
        <f>HYPERLINK("https://gnats.juniper.net/web/default/1932710-3", "1932710-3")</f>
        <v>1932710-3</v>
      </c>
      <c r="B24" t="s">
        <v>37</v>
      </c>
      <c r="C24" t="s">
        <v>13</v>
      </c>
      <c r="D24" t="s">
        <v>11</v>
      </c>
      <c r="E24" t="s">
        <v>12</v>
      </c>
      <c r="G24" t="s">
        <v>10</v>
      </c>
      <c r="H24" t="s">
        <v>14</v>
      </c>
      <c r="I24" t="s">
        <v>18</v>
      </c>
    </row>
    <row r="25" spans="1:9" hidden="1" x14ac:dyDescent="0.2">
      <c r="A25" s="100" t="str">
        <f>HYPERLINK("https://gnats.juniper.net/web/default/1932710-4", "1932710-4")</f>
        <v>1932710-4</v>
      </c>
      <c r="B25" t="s">
        <v>37</v>
      </c>
      <c r="D25" t="s">
        <v>11</v>
      </c>
      <c r="E25" t="s">
        <v>12</v>
      </c>
      <c r="G25" t="s">
        <v>16</v>
      </c>
      <c r="H25" t="s">
        <v>14</v>
      </c>
      <c r="I25" t="s">
        <v>18</v>
      </c>
    </row>
    <row r="26" spans="1:9" hidden="1" x14ac:dyDescent="0.2">
      <c r="A26" s="100" t="str">
        <f>HYPERLINK("https://gnats.juniper.net/web/default/1932710-5", "1932710-5")</f>
        <v>1932710-5</v>
      </c>
      <c r="B26" t="s">
        <v>37</v>
      </c>
      <c r="C26" t="s">
        <v>13</v>
      </c>
      <c r="D26" t="s">
        <v>11</v>
      </c>
      <c r="E26" t="s">
        <v>12</v>
      </c>
      <c r="G26" t="s">
        <v>13</v>
      </c>
      <c r="H26" t="s">
        <v>14</v>
      </c>
      <c r="I26" t="s">
        <v>40</v>
      </c>
    </row>
    <row r="27" spans="1:9" hidden="1" x14ac:dyDescent="0.2">
      <c r="A27" s="100" t="str">
        <f>HYPERLINK("https://gnats.juniper.net/web/default/1932710-6", "1932710-6")</f>
        <v>1932710-6</v>
      </c>
      <c r="B27" t="s">
        <v>37</v>
      </c>
      <c r="C27" t="s">
        <v>41</v>
      </c>
      <c r="D27" t="s">
        <v>11</v>
      </c>
      <c r="E27" t="s">
        <v>12</v>
      </c>
      <c r="G27" t="s">
        <v>41</v>
      </c>
      <c r="H27" t="s">
        <v>14</v>
      </c>
      <c r="I27" t="s">
        <v>40</v>
      </c>
    </row>
    <row r="28" spans="1:9" hidden="1" x14ac:dyDescent="0.2">
      <c r="A28" s="100" t="str">
        <f>HYPERLINK("https://gnats.juniper.net/web/default/1932710-7", "1932710-7")</f>
        <v>1932710-7</v>
      </c>
      <c r="B28" t="s">
        <v>37</v>
      </c>
      <c r="D28" t="s">
        <v>11</v>
      </c>
      <c r="E28" t="s">
        <v>12</v>
      </c>
      <c r="G28" t="s">
        <v>42</v>
      </c>
      <c r="H28" t="s">
        <v>14</v>
      </c>
      <c r="I28" t="s">
        <v>39</v>
      </c>
    </row>
    <row r="29" spans="1:9" hidden="1" x14ac:dyDescent="0.2">
      <c r="A29" s="100" t="str">
        <f>HYPERLINK("https://gnats.juniper.net/web/default/1932710-8", "1932710-8")</f>
        <v>1932710-8</v>
      </c>
      <c r="B29" t="s">
        <v>37</v>
      </c>
      <c r="C29" t="s">
        <v>41</v>
      </c>
      <c r="D29" t="s">
        <v>11</v>
      </c>
      <c r="E29" t="s">
        <v>12</v>
      </c>
      <c r="F29" t="s">
        <v>30</v>
      </c>
      <c r="G29" t="s">
        <v>32</v>
      </c>
      <c r="H29" t="s">
        <v>14</v>
      </c>
      <c r="I29" t="s">
        <v>39</v>
      </c>
    </row>
    <row r="30" spans="1:9" hidden="1" x14ac:dyDescent="0.2">
      <c r="A30" s="100" t="str">
        <f>HYPERLINK("https://gnats.juniper.net/web/default/1932710-9", "1932710-9")</f>
        <v>1932710-9</v>
      </c>
      <c r="B30" t="s">
        <v>37</v>
      </c>
      <c r="D30" t="s">
        <v>11</v>
      </c>
      <c r="E30" t="s">
        <v>12</v>
      </c>
      <c r="G30" t="s">
        <v>43</v>
      </c>
      <c r="H30" t="s">
        <v>14</v>
      </c>
      <c r="I30" t="s">
        <v>39</v>
      </c>
    </row>
    <row r="31" spans="1:9" hidden="1" x14ac:dyDescent="0.2">
      <c r="A31" s="100" t="str">
        <f>HYPERLINK("https://gnats.juniper.net/web/default/1932916-1", "1932916-1")</f>
        <v>1932916-1</v>
      </c>
      <c r="B31" t="s">
        <v>44</v>
      </c>
      <c r="C31" t="s">
        <v>13</v>
      </c>
      <c r="D31" t="s">
        <v>11</v>
      </c>
      <c r="E31" t="s">
        <v>12</v>
      </c>
      <c r="G31" t="s">
        <v>13</v>
      </c>
      <c r="H31" t="s">
        <v>14</v>
      </c>
      <c r="I31" t="s">
        <v>45</v>
      </c>
    </row>
    <row r="32" spans="1:9" hidden="1" x14ac:dyDescent="0.2">
      <c r="A32" s="100" t="str">
        <f>HYPERLINK("https://gnats.juniper.net/web/default/1932916-2", "1932916-2")</f>
        <v>1932916-2</v>
      </c>
      <c r="B32" t="s">
        <v>44</v>
      </c>
      <c r="C32" t="s">
        <v>13</v>
      </c>
      <c r="D32" t="s">
        <v>11</v>
      </c>
      <c r="E32" t="s">
        <v>12</v>
      </c>
      <c r="G32" t="s">
        <v>16</v>
      </c>
      <c r="H32" t="s">
        <v>14</v>
      </c>
      <c r="I32" t="s">
        <v>45</v>
      </c>
    </row>
    <row r="33" spans="1:9" hidden="1" x14ac:dyDescent="0.2">
      <c r="A33" s="100" t="str">
        <f>HYPERLINK("https://gnats.juniper.net/web/default/1932916-3", "1932916-3")</f>
        <v>1932916-3</v>
      </c>
      <c r="B33" t="s">
        <v>44</v>
      </c>
      <c r="C33" t="s">
        <v>13</v>
      </c>
      <c r="D33" t="s">
        <v>11</v>
      </c>
      <c r="E33" t="s">
        <v>12</v>
      </c>
      <c r="G33" t="s">
        <v>10</v>
      </c>
      <c r="H33" t="s">
        <v>14</v>
      </c>
      <c r="I33" t="s">
        <v>45</v>
      </c>
    </row>
    <row r="34" spans="1:9" hidden="1" x14ac:dyDescent="0.2">
      <c r="A34" s="100" t="str">
        <f>HYPERLINK("https://gnats.juniper.net/web/default/1932916-4", "1932916-4")</f>
        <v>1932916-4</v>
      </c>
      <c r="B34" t="s">
        <v>44</v>
      </c>
      <c r="D34" t="s">
        <v>11</v>
      </c>
      <c r="E34" t="s">
        <v>12</v>
      </c>
      <c r="G34" t="s">
        <v>17</v>
      </c>
      <c r="H34" t="s">
        <v>14</v>
      </c>
      <c r="I34" t="s">
        <v>45</v>
      </c>
    </row>
    <row r="35" spans="1:9" hidden="1" x14ac:dyDescent="0.2">
      <c r="A35" s="100" t="str">
        <f>HYPERLINK("https://gnats.juniper.net/web/default/1932916-5", "1932916-5")</f>
        <v>1932916-5</v>
      </c>
      <c r="B35" t="s">
        <v>44</v>
      </c>
      <c r="D35" t="s">
        <v>11</v>
      </c>
      <c r="E35" t="s">
        <v>12</v>
      </c>
      <c r="G35" t="s">
        <v>38</v>
      </c>
      <c r="H35" t="s">
        <v>14</v>
      </c>
      <c r="I35" t="s">
        <v>45</v>
      </c>
    </row>
    <row r="36" spans="1:9" hidden="1" x14ac:dyDescent="0.2">
      <c r="A36" s="100" t="str">
        <f>HYPERLINK("https://gnats.juniper.net/web/default/1933014-1", "1933014-1")</f>
        <v>1933014-1</v>
      </c>
      <c r="B36" t="s">
        <v>46</v>
      </c>
      <c r="C36" t="s">
        <v>13</v>
      </c>
      <c r="D36" t="s">
        <v>47</v>
      </c>
      <c r="E36" t="s">
        <v>12</v>
      </c>
      <c r="G36" t="s">
        <v>38</v>
      </c>
      <c r="H36" t="s">
        <v>14</v>
      </c>
      <c r="I36" t="s">
        <v>48</v>
      </c>
    </row>
    <row r="37" spans="1:9" hidden="1" x14ac:dyDescent="0.2">
      <c r="A37" s="100" t="str">
        <f>HYPERLINK("https://gnats.juniper.net/web/default/1933014-2", "1933014-2")</f>
        <v>1933014-2</v>
      </c>
      <c r="B37" t="s">
        <v>46</v>
      </c>
      <c r="C37" t="s">
        <v>13</v>
      </c>
      <c r="D37" t="s">
        <v>47</v>
      </c>
      <c r="E37" t="s">
        <v>12</v>
      </c>
      <c r="G37" t="s">
        <v>16</v>
      </c>
      <c r="H37" t="s">
        <v>14</v>
      </c>
      <c r="I37" t="s">
        <v>18</v>
      </c>
    </row>
    <row r="38" spans="1:9" hidden="1" x14ac:dyDescent="0.2">
      <c r="A38" s="100" t="str">
        <f>HYPERLINK("https://gnats.juniper.net/web/default/1933014-3", "1933014-3")</f>
        <v>1933014-3</v>
      </c>
      <c r="B38" t="s">
        <v>46</v>
      </c>
      <c r="C38" t="s">
        <v>13</v>
      </c>
      <c r="D38" t="s">
        <v>47</v>
      </c>
      <c r="E38" t="s">
        <v>12</v>
      </c>
      <c r="G38" t="s">
        <v>17</v>
      </c>
      <c r="H38" t="s">
        <v>14</v>
      </c>
      <c r="I38" t="s">
        <v>48</v>
      </c>
    </row>
    <row r="39" spans="1:9" hidden="1" x14ac:dyDescent="0.2">
      <c r="A39" s="100" t="str">
        <f>HYPERLINK("https://gnats.juniper.net/web/default/1933014-4", "1933014-4")</f>
        <v>1933014-4</v>
      </c>
      <c r="B39" t="s">
        <v>46</v>
      </c>
      <c r="C39" t="s">
        <v>13</v>
      </c>
      <c r="D39" t="s">
        <v>47</v>
      </c>
      <c r="E39" t="s">
        <v>12</v>
      </c>
      <c r="G39" t="s">
        <v>13</v>
      </c>
      <c r="H39" t="s">
        <v>14</v>
      </c>
      <c r="I39" t="s">
        <v>48</v>
      </c>
    </row>
    <row r="40" spans="1:9" hidden="1" x14ac:dyDescent="0.2">
      <c r="A40" s="100" t="str">
        <f>HYPERLINK("https://gnats.juniper.net/web/default/1933021-1", "1933021-1")</f>
        <v>1933021-1</v>
      </c>
      <c r="B40" t="s">
        <v>49</v>
      </c>
      <c r="C40" t="s">
        <v>13</v>
      </c>
      <c r="D40" t="s">
        <v>11</v>
      </c>
      <c r="E40" t="s">
        <v>12</v>
      </c>
      <c r="G40" t="s">
        <v>13</v>
      </c>
      <c r="H40" t="s">
        <v>14</v>
      </c>
      <c r="I40" t="s">
        <v>28</v>
      </c>
    </row>
    <row r="41" spans="1:9" hidden="1" x14ac:dyDescent="0.2">
      <c r="A41" s="100" t="str">
        <f>HYPERLINK("https://gnats.juniper.net/web/default/1933021-2", "1933021-2")</f>
        <v>1933021-2</v>
      </c>
      <c r="B41" t="s">
        <v>49</v>
      </c>
      <c r="C41" t="s">
        <v>13</v>
      </c>
      <c r="D41" t="s">
        <v>11</v>
      </c>
      <c r="E41" t="s">
        <v>12</v>
      </c>
      <c r="G41" t="s">
        <v>16</v>
      </c>
      <c r="H41" t="s">
        <v>14</v>
      </c>
      <c r="I41" t="s">
        <v>28</v>
      </c>
    </row>
    <row r="42" spans="1:9" hidden="1" x14ac:dyDescent="0.2">
      <c r="A42" s="100" t="str">
        <f>HYPERLINK("https://gnats.juniper.net/web/default/1933021-3", "1933021-3")</f>
        <v>1933021-3</v>
      </c>
      <c r="B42" t="s">
        <v>49</v>
      </c>
      <c r="C42" t="s">
        <v>13</v>
      </c>
      <c r="D42" t="s">
        <v>11</v>
      </c>
      <c r="E42" t="s">
        <v>12</v>
      </c>
      <c r="G42" t="s">
        <v>17</v>
      </c>
      <c r="H42" t="s">
        <v>14</v>
      </c>
      <c r="I42" t="s">
        <v>28</v>
      </c>
    </row>
    <row r="43" spans="1:9" hidden="1" x14ac:dyDescent="0.2">
      <c r="A43" s="100" t="str">
        <f>HYPERLINK("https://gnats.juniper.net/web/default/1933163-1", "1933163-1")</f>
        <v>1933163-1</v>
      </c>
      <c r="B43" t="s">
        <v>50</v>
      </c>
      <c r="C43" t="s">
        <v>13</v>
      </c>
      <c r="D43" t="s">
        <v>47</v>
      </c>
      <c r="E43" t="s">
        <v>12</v>
      </c>
      <c r="G43" t="s">
        <v>13</v>
      </c>
      <c r="H43" t="s">
        <v>14</v>
      </c>
      <c r="I43" t="s">
        <v>51</v>
      </c>
    </row>
    <row r="44" spans="1:9" hidden="1" x14ac:dyDescent="0.2">
      <c r="A44" s="100" t="str">
        <f>HYPERLINK("https://gnats.juniper.net/web/default/1933163-2", "1933163-2")</f>
        <v>1933163-2</v>
      </c>
      <c r="B44" t="s">
        <v>50</v>
      </c>
      <c r="C44" t="s">
        <v>13</v>
      </c>
      <c r="D44" t="s">
        <v>47</v>
      </c>
      <c r="E44" t="s">
        <v>12</v>
      </c>
      <c r="G44" t="s">
        <v>17</v>
      </c>
      <c r="H44" t="s">
        <v>14</v>
      </c>
      <c r="I44" t="s">
        <v>51</v>
      </c>
    </row>
    <row r="45" spans="1:9" hidden="1" x14ac:dyDescent="0.2">
      <c r="A45" s="100" t="str">
        <f>HYPERLINK("https://gnats.juniper.net/web/default/1933163-3", "1933163-3")</f>
        <v>1933163-3</v>
      </c>
      <c r="B45" t="s">
        <v>50</v>
      </c>
      <c r="C45" t="s">
        <v>13</v>
      </c>
      <c r="D45" t="s">
        <v>47</v>
      </c>
      <c r="E45" t="s">
        <v>12</v>
      </c>
      <c r="G45" t="s">
        <v>16</v>
      </c>
      <c r="H45" t="s">
        <v>14</v>
      </c>
      <c r="I45" t="s">
        <v>51</v>
      </c>
    </row>
    <row r="46" spans="1:9" hidden="1" x14ac:dyDescent="0.2">
      <c r="A46" s="100" t="str">
        <f>HYPERLINK("https://gnats.juniper.net/web/default/1933192-1", "1933192-1")</f>
        <v>1933192-1</v>
      </c>
      <c r="B46" t="s">
        <v>52</v>
      </c>
      <c r="C46" t="s">
        <v>13</v>
      </c>
      <c r="D46" t="s">
        <v>11</v>
      </c>
      <c r="E46" t="s">
        <v>12</v>
      </c>
      <c r="G46" t="s">
        <v>13</v>
      </c>
      <c r="H46" t="s">
        <v>14</v>
      </c>
      <c r="I46" t="s">
        <v>53</v>
      </c>
    </row>
    <row r="47" spans="1:9" hidden="1" x14ac:dyDescent="0.2">
      <c r="A47" s="100" t="str">
        <f>HYPERLINK("https://gnats.juniper.net/web/default/1933192-2", "1933192-2")</f>
        <v>1933192-2</v>
      </c>
      <c r="B47" t="s">
        <v>52</v>
      </c>
      <c r="C47" t="s">
        <v>13</v>
      </c>
      <c r="D47" t="s">
        <v>11</v>
      </c>
      <c r="E47" t="s">
        <v>12</v>
      </c>
      <c r="G47" t="s">
        <v>16</v>
      </c>
      <c r="H47" t="s">
        <v>14</v>
      </c>
      <c r="I47" t="s">
        <v>53</v>
      </c>
    </row>
    <row r="48" spans="1:9" hidden="1" x14ac:dyDescent="0.2">
      <c r="A48" s="100" t="str">
        <f>HYPERLINK("https://gnats.juniper.net/web/default/1933192-3", "1933192-3")</f>
        <v>1933192-3</v>
      </c>
      <c r="B48" t="s">
        <v>52</v>
      </c>
      <c r="C48" t="s">
        <v>13</v>
      </c>
      <c r="D48" t="s">
        <v>11</v>
      </c>
      <c r="E48" t="s">
        <v>12</v>
      </c>
      <c r="G48" t="s">
        <v>17</v>
      </c>
      <c r="H48" t="s">
        <v>14</v>
      </c>
      <c r="I48" t="s">
        <v>53</v>
      </c>
    </row>
    <row r="49" spans="1:9" hidden="1" x14ac:dyDescent="0.2">
      <c r="A49" s="100" t="str">
        <f>HYPERLINK("https://gnats.juniper.net/web/default/1933195-1", "1933195-1")</f>
        <v>1933195-1</v>
      </c>
      <c r="B49" t="s">
        <v>54</v>
      </c>
      <c r="C49" t="s">
        <v>13</v>
      </c>
      <c r="D49" t="s">
        <v>11</v>
      </c>
      <c r="E49" t="s">
        <v>12</v>
      </c>
      <c r="G49" t="s">
        <v>38</v>
      </c>
      <c r="H49" t="s">
        <v>14</v>
      </c>
      <c r="I49" t="s">
        <v>55</v>
      </c>
    </row>
    <row r="50" spans="1:9" hidden="1" x14ac:dyDescent="0.2">
      <c r="A50" s="100" t="str">
        <f>HYPERLINK("https://gnats.juniper.net/web/default/1933195-2", "1933195-2")</f>
        <v>1933195-2</v>
      </c>
      <c r="B50" t="s">
        <v>54</v>
      </c>
      <c r="C50" t="s">
        <v>13</v>
      </c>
      <c r="D50" t="s">
        <v>11</v>
      </c>
      <c r="E50" t="s">
        <v>12</v>
      </c>
      <c r="G50" t="s">
        <v>17</v>
      </c>
      <c r="H50" t="s">
        <v>14</v>
      </c>
      <c r="I50" t="s">
        <v>55</v>
      </c>
    </row>
    <row r="51" spans="1:9" hidden="1" x14ac:dyDescent="0.2">
      <c r="A51" s="100" t="str">
        <f>HYPERLINK("https://gnats.juniper.net/web/default/1933195-3", "1933195-3")</f>
        <v>1933195-3</v>
      </c>
      <c r="B51" t="s">
        <v>54</v>
      </c>
      <c r="C51" t="s">
        <v>13</v>
      </c>
      <c r="D51" t="s">
        <v>11</v>
      </c>
      <c r="E51" t="s">
        <v>12</v>
      </c>
      <c r="G51" t="s">
        <v>16</v>
      </c>
      <c r="H51" t="s">
        <v>14</v>
      </c>
      <c r="I51" t="s">
        <v>18</v>
      </c>
    </row>
    <row r="52" spans="1:9" hidden="1" x14ac:dyDescent="0.2">
      <c r="A52" s="100" t="str">
        <f>HYPERLINK("https://gnats.juniper.net/web/default/1933195-4", "1933195-4")</f>
        <v>1933195-4</v>
      </c>
      <c r="B52" t="s">
        <v>54</v>
      </c>
      <c r="C52" t="s">
        <v>13</v>
      </c>
      <c r="D52" t="s">
        <v>11</v>
      </c>
      <c r="E52" t="s">
        <v>12</v>
      </c>
      <c r="G52" t="s">
        <v>13</v>
      </c>
      <c r="H52" t="s">
        <v>14</v>
      </c>
      <c r="I52" t="s">
        <v>55</v>
      </c>
    </row>
    <row r="53" spans="1:9" hidden="1" x14ac:dyDescent="0.2">
      <c r="A53" s="100" t="str">
        <f>HYPERLINK("https://gnats.juniper.net/web/default/1933195-5", "1933195-5")</f>
        <v>1933195-5</v>
      </c>
      <c r="B53" t="s">
        <v>54</v>
      </c>
      <c r="C53" t="s">
        <v>41</v>
      </c>
      <c r="D53" t="s">
        <v>11</v>
      </c>
      <c r="E53" t="s">
        <v>12</v>
      </c>
      <c r="G53" t="s">
        <v>41</v>
      </c>
      <c r="H53" t="s">
        <v>14</v>
      </c>
      <c r="I53" t="s">
        <v>55</v>
      </c>
    </row>
    <row r="54" spans="1:9" hidden="1" x14ac:dyDescent="0.2">
      <c r="A54" s="100" t="str">
        <f>HYPERLINK("https://gnats.juniper.net/web/default/1933195-6", "1933195-6")</f>
        <v>1933195-6</v>
      </c>
      <c r="B54" t="s">
        <v>54</v>
      </c>
      <c r="D54" t="s">
        <v>11</v>
      </c>
      <c r="E54" t="s">
        <v>12</v>
      </c>
      <c r="G54" t="s">
        <v>42</v>
      </c>
      <c r="H54" t="s">
        <v>14</v>
      </c>
      <c r="I54" t="s">
        <v>55</v>
      </c>
    </row>
    <row r="55" spans="1:9" hidden="1" x14ac:dyDescent="0.2">
      <c r="A55" s="100" t="str">
        <f>HYPERLINK("https://gnats.juniper.net/web/default/1933195-7", "1933195-7")</f>
        <v>1933195-7</v>
      </c>
      <c r="B55" t="s">
        <v>54</v>
      </c>
      <c r="C55" t="s">
        <v>32</v>
      </c>
      <c r="D55" t="s">
        <v>11</v>
      </c>
      <c r="E55" t="s">
        <v>12</v>
      </c>
      <c r="F55" t="s">
        <v>22</v>
      </c>
      <c r="G55" t="s">
        <v>32</v>
      </c>
      <c r="H55" t="s">
        <v>14</v>
      </c>
      <c r="I55" t="s">
        <v>55</v>
      </c>
    </row>
    <row r="56" spans="1:9" hidden="1" x14ac:dyDescent="0.2">
      <c r="A56" s="100" t="str">
        <f>HYPERLINK("https://gnats.juniper.net/web/default/1933636-1", "1933636-1")</f>
        <v>1933636-1</v>
      </c>
      <c r="B56" t="s">
        <v>56</v>
      </c>
      <c r="C56" t="s">
        <v>17</v>
      </c>
      <c r="D56" t="s">
        <v>47</v>
      </c>
      <c r="E56" t="s">
        <v>12</v>
      </c>
      <c r="G56" t="s">
        <v>17</v>
      </c>
      <c r="H56" t="s">
        <v>14</v>
      </c>
      <c r="I56" t="s">
        <v>48</v>
      </c>
    </row>
    <row r="57" spans="1:9" hidden="1" x14ac:dyDescent="0.2">
      <c r="A57" s="100" t="str">
        <f>HYPERLINK("https://gnats.juniper.net/web/default/1933636-2", "1933636-2")</f>
        <v>1933636-2</v>
      </c>
      <c r="B57" t="s">
        <v>56</v>
      </c>
      <c r="C57" t="s">
        <v>17</v>
      </c>
      <c r="D57" t="s">
        <v>47</v>
      </c>
      <c r="E57" t="s">
        <v>12</v>
      </c>
      <c r="G57" t="s">
        <v>16</v>
      </c>
      <c r="H57" t="s">
        <v>14</v>
      </c>
      <c r="I57" t="s">
        <v>48</v>
      </c>
    </row>
    <row r="58" spans="1:9" hidden="1" x14ac:dyDescent="0.2">
      <c r="A58" s="100" t="str">
        <f>HYPERLINK("https://gnats.juniper.net/web/default/1933636-3", "1933636-3")</f>
        <v>1933636-3</v>
      </c>
      <c r="B58" t="s">
        <v>56</v>
      </c>
      <c r="C58" t="s">
        <v>17</v>
      </c>
      <c r="D58" t="s">
        <v>47</v>
      </c>
      <c r="E58" t="s">
        <v>12</v>
      </c>
      <c r="G58" t="s">
        <v>13</v>
      </c>
      <c r="H58" t="s">
        <v>14</v>
      </c>
      <c r="I58" t="s">
        <v>48</v>
      </c>
    </row>
    <row r="59" spans="1:9" hidden="1" x14ac:dyDescent="0.2">
      <c r="A59" s="100" t="str">
        <f>HYPERLINK("https://gnats.juniper.net/web/default/1933957-1", "1933957-1")</f>
        <v>1933957-1</v>
      </c>
      <c r="B59" t="s">
        <v>57</v>
      </c>
      <c r="C59" t="s">
        <v>13</v>
      </c>
      <c r="D59" t="s">
        <v>47</v>
      </c>
      <c r="E59" t="s">
        <v>12</v>
      </c>
      <c r="G59" t="s">
        <v>13</v>
      </c>
      <c r="H59" t="s">
        <v>14</v>
      </c>
      <c r="I59" t="s">
        <v>51</v>
      </c>
    </row>
    <row r="60" spans="1:9" hidden="1" x14ac:dyDescent="0.2">
      <c r="A60" s="100" t="str">
        <f>HYPERLINK("https://gnats.juniper.net/web/default/1933957-2", "1933957-2")</f>
        <v>1933957-2</v>
      </c>
      <c r="B60" t="s">
        <v>57</v>
      </c>
      <c r="C60" t="s">
        <v>13</v>
      </c>
      <c r="D60" t="s">
        <v>47</v>
      </c>
      <c r="E60" t="s">
        <v>12</v>
      </c>
      <c r="G60" t="s">
        <v>16</v>
      </c>
      <c r="H60" t="s">
        <v>14</v>
      </c>
      <c r="I60" t="s">
        <v>18</v>
      </c>
    </row>
    <row r="61" spans="1:9" hidden="1" x14ac:dyDescent="0.2">
      <c r="A61" s="100" t="str">
        <f>HYPERLINK("https://gnats.juniper.net/web/default/1933957-3", "1933957-3")</f>
        <v>1933957-3</v>
      </c>
      <c r="B61" t="s">
        <v>57</v>
      </c>
      <c r="C61" t="s">
        <v>13</v>
      </c>
      <c r="D61" t="s">
        <v>47</v>
      </c>
      <c r="E61" t="s">
        <v>12</v>
      </c>
      <c r="G61" t="s">
        <v>17</v>
      </c>
      <c r="H61" t="s">
        <v>14</v>
      </c>
      <c r="I61" t="s">
        <v>51</v>
      </c>
    </row>
    <row r="62" spans="1:9" hidden="1" x14ac:dyDescent="0.2">
      <c r="A62" s="100" t="str">
        <f>HYPERLINK("https://gnats.juniper.net/web/default/1933971-1", "1933971-1")</f>
        <v>1933971-1</v>
      </c>
      <c r="B62" t="s">
        <v>58</v>
      </c>
      <c r="C62" t="s">
        <v>13</v>
      </c>
      <c r="D62" t="s">
        <v>11</v>
      </c>
      <c r="E62" t="s">
        <v>12</v>
      </c>
      <c r="F62" t="s">
        <v>22</v>
      </c>
      <c r="G62" t="s">
        <v>13</v>
      </c>
      <c r="H62" t="s">
        <v>14</v>
      </c>
      <c r="I62" t="s">
        <v>24</v>
      </c>
    </row>
    <row r="63" spans="1:9" hidden="1" x14ac:dyDescent="0.2">
      <c r="A63" s="100" t="str">
        <f>HYPERLINK("https://gnats.juniper.net/web/default/1933971-2", "1933971-2")</f>
        <v>1933971-2</v>
      </c>
      <c r="B63" t="s">
        <v>58</v>
      </c>
      <c r="C63" t="s">
        <v>13</v>
      </c>
      <c r="D63" t="s">
        <v>11</v>
      </c>
      <c r="E63" t="s">
        <v>12</v>
      </c>
      <c r="F63" t="s">
        <v>22</v>
      </c>
      <c r="G63" t="s">
        <v>17</v>
      </c>
      <c r="H63" t="s">
        <v>14</v>
      </c>
      <c r="I63" t="s">
        <v>24</v>
      </c>
    </row>
    <row r="64" spans="1:9" hidden="1" x14ac:dyDescent="0.2">
      <c r="A64" s="100" t="str">
        <f>HYPERLINK("https://gnats.juniper.net/web/default/1933971-3", "1933971-3")</f>
        <v>1933971-3</v>
      </c>
      <c r="B64" t="s">
        <v>58</v>
      </c>
      <c r="C64" t="s">
        <v>13</v>
      </c>
      <c r="D64" t="s">
        <v>11</v>
      </c>
      <c r="E64" t="s">
        <v>12</v>
      </c>
      <c r="F64" t="s">
        <v>22</v>
      </c>
      <c r="G64" t="s">
        <v>16</v>
      </c>
      <c r="H64" t="s">
        <v>14</v>
      </c>
      <c r="I64" t="s">
        <v>18</v>
      </c>
    </row>
    <row r="65" spans="1:9" hidden="1" x14ac:dyDescent="0.2">
      <c r="A65" s="100" t="str">
        <f>HYPERLINK("https://gnats.juniper.net/web/default/1934311-1", "1934311-1")</f>
        <v>1934311-1</v>
      </c>
      <c r="B65" t="s">
        <v>59</v>
      </c>
      <c r="C65" t="s">
        <v>17</v>
      </c>
      <c r="D65" t="s">
        <v>11</v>
      </c>
      <c r="E65" t="s">
        <v>12</v>
      </c>
      <c r="G65" t="s">
        <v>17</v>
      </c>
      <c r="H65" t="s">
        <v>14</v>
      </c>
      <c r="I65" t="s">
        <v>60</v>
      </c>
    </row>
    <row r="66" spans="1:9" hidden="1" x14ac:dyDescent="0.2">
      <c r="A66" s="100" t="str">
        <f>HYPERLINK("https://gnats.juniper.net/web/default/1934311-2", "1934311-2")</f>
        <v>1934311-2</v>
      </c>
      <c r="B66" t="s">
        <v>59</v>
      </c>
      <c r="C66" t="s">
        <v>17</v>
      </c>
      <c r="D66" t="s">
        <v>11</v>
      </c>
      <c r="E66" t="s">
        <v>12</v>
      </c>
      <c r="G66" t="s">
        <v>16</v>
      </c>
      <c r="H66" t="s">
        <v>14</v>
      </c>
      <c r="I66" t="s">
        <v>60</v>
      </c>
    </row>
    <row r="67" spans="1:9" hidden="1" x14ac:dyDescent="0.2">
      <c r="A67" s="100" t="str">
        <f>HYPERLINK("https://gnats.juniper.net/web/default/1934311-3", "1934311-3")</f>
        <v>1934311-3</v>
      </c>
      <c r="B67" t="s">
        <v>59</v>
      </c>
      <c r="C67" t="s">
        <v>17</v>
      </c>
      <c r="D67" t="s">
        <v>11</v>
      </c>
      <c r="E67" t="s">
        <v>12</v>
      </c>
      <c r="G67" t="s">
        <v>38</v>
      </c>
      <c r="H67" t="s">
        <v>14</v>
      </c>
      <c r="I67" t="s">
        <v>60</v>
      </c>
    </row>
    <row r="68" spans="1:9" hidden="1" x14ac:dyDescent="0.2">
      <c r="A68" s="100" t="str">
        <f>HYPERLINK("https://gnats.juniper.net/web/default/1934311-4", "1934311-4")</f>
        <v>1934311-4</v>
      </c>
      <c r="B68" t="s">
        <v>59</v>
      </c>
      <c r="C68" t="s">
        <v>13</v>
      </c>
      <c r="D68" t="s">
        <v>11</v>
      </c>
      <c r="E68" t="s">
        <v>12</v>
      </c>
      <c r="G68" t="s">
        <v>13</v>
      </c>
      <c r="H68" t="s">
        <v>14</v>
      </c>
      <c r="I68" t="s">
        <v>60</v>
      </c>
    </row>
    <row r="69" spans="1:9" hidden="1" x14ac:dyDescent="0.2">
      <c r="A69" s="100" t="str">
        <f>HYPERLINK("https://gnats.juniper.net/web/default/1934315-1", "1934315-1")</f>
        <v>1934315-1</v>
      </c>
      <c r="B69" t="s">
        <v>61</v>
      </c>
      <c r="C69" t="s">
        <v>17</v>
      </c>
      <c r="D69" t="s">
        <v>62</v>
      </c>
      <c r="E69" t="s">
        <v>12</v>
      </c>
      <c r="F69" t="s">
        <v>63</v>
      </c>
      <c r="G69" t="s">
        <v>17</v>
      </c>
      <c r="H69" t="s">
        <v>14</v>
      </c>
      <c r="I69" t="s">
        <v>64</v>
      </c>
    </row>
    <row r="70" spans="1:9" hidden="1" x14ac:dyDescent="0.2">
      <c r="A70" s="100" t="str">
        <f>HYPERLINK("https://gnats.juniper.net/web/default/1934315-2", "1934315-2")</f>
        <v>1934315-2</v>
      </c>
      <c r="B70" t="s">
        <v>61</v>
      </c>
      <c r="C70" t="s">
        <v>17</v>
      </c>
      <c r="D70" t="s">
        <v>62</v>
      </c>
      <c r="E70" t="s">
        <v>12</v>
      </c>
      <c r="F70" t="s">
        <v>63</v>
      </c>
      <c r="G70" t="s">
        <v>13</v>
      </c>
      <c r="H70" t="s">
        <v>14</v>
      </c>
      <c r="I70" t="s">
        <v>64</v>
      </c>
    </row>
    <row r="71" spans="1:9" hidden="1" x14ac:dyDescent="0.2">
      <c r="A71" s="100" t="str">
        <f>HYPERLINK("https://gnats.juniper.net/web/default/1934315-3", "1934315-3")</f>
        <v>1934315-3</v>
      </c>
      <c r="B71" t="s">
        <v>61</v>
      </c>
      <c r="C71" t="s">
        <v>17</v>
      </c>
      <c r="D71" t="s">
        <v>62</v>
      </c>
      <c r="E71" t="s">
        <v>12</v>
      </c>
      <c r="F71" t="s">
        <v>63</v>
      </c>
      <c r="G71" t="s">
        <v>16</v>
      </c>
      <c r="H71" t="s">
        <v>14</v>
      </c>
      <c r="I71" t="s">
        <v>64</v>
      </c>
    </row>
    <row r="72" spans="1:9" hidden="1" x14ac:dyDescent="0.2">
      <c r="A72" s="100" t="str">
        <f>HYPERLINK("https://gnats.juniper.net/web/default/1935848-1", "1935848-1")</f>
        <v>1935848-1</v>
      </c>
      <c r="B72" t="s">
        <v>65</v>
      </c>
      <c r="C72" t="s">
        <v>13</v>
      </c>
      <c r="D72" t="s">
        <v>11</v>
      </c>
      <c r="E72" t="s">
        <v>12</v>
      </c>
      <c r="G72" t="s">
        <v>13</v>
      </c>
      <c r="H72" t="s">
        <v>14</v>
      </c>
      <c r="I72" t="s">
        <v>66</v>
      </c>
    </row>
    <row r="73" spans="1:9" hidden="1" x14ac:dyDescent="0.2">
      <c r="A73" s="100" t="str">
        <f>HYPERLINK("https://gnats.juniper.net/web/default/1935848-2", "1935848-2")</f>
        <v>1935848-2</v>
      </c>
      <c r="B73" t="s">
        <v>65</v>
      </c>
      <c r="C73" t="s">
        <v>13</v>
      </c>
      <c r="D73" t="s">
        <v>11</v>
      </c>
      <c r="E73" t="s">
        <v>12</v>
      </c>
      <c r="G73" t="s">
        <v>16</v>
      </c>
      <c r="H73" t="s">
        <v>14</v>
      </c>
      <c r="I73" t="s">
        <v>66</v>
      </c>
    </row>
    <row r="74" spans="1:9" hidden="1" x14ac:dyDescent="0.2">
      <c r="A74" s="100" t="str">
        <f>HYPERLINK("https://gnats.juniper.net/web/default/1935848-3", "1935848-3")</f>
        <v>1935848-3</v>
      </c>
      <c r="B74" t="s">
        <v>65</v>
      </c>
      <c r="C74" t="s">
        <v>13</v>
      </c>
      <c r="D74" t="s">
        <v>11</v>
      </c>
      <c r="E74" t="s">
        <v>12</v>
      </c>
      <c r="G74" t="s">
        <v>17</v>
      </c>
      <c r="H74" t="s">
        <v>14</v>
      </c>
      <c r="I74" t="s">
        <v>66</v>
      </c>
    </row>
    <row r="75" spans="1:9" hidden="1" x14ac:dyDescent="0.2">
      <c r="A75" s="100" t="str">
        <f>HYPERLINK("https://gnats.juniper.net/web/default/1936810-1", "1936810-1")</f>
        <v>1936810-1</v>
      </c>
      <c r="B75" t="s">
        <v>67</v>
      </c>
      <c r="C75" t="s">
        <v>17</v>
      </c>
      <c r="D75" t="s">
        <v>11</v>
      </c>
      <c r="E75" t="s">
        <v>12</v>
      </c>
      <c r="G75" t="s">
        <v>17</v>
      </c>
      <c r="H75" t="s">
        <v>14</v>
      </c>
      <c r="I75" t="s">
        <v>24</v>
      </c>
    </row>
    <row r="76" spans="1:9" hidden="1" x14ac:dyDescent="0.2">
      <c r="A76" s="100" t="str">
        <f>HYPERLINK("https://gnats.juniper.net/web/default/1936810-2", "1936810-2")</f>
        <v>1936810-2</v>
      </c>
      <c r="B76" t="s">
        <v>67</v>
      </c>
      <c r="C76" t="s">
        <v>17</v>
      </c>
      <c r="D76" t="s">
        <v>11</v>
      </c>
      <c r="E76" t="s">
        <v>12</v>
      </c>
      <c r="G76" t="s">
        <v>16</v>
      </c>
      <c r="H76" t="s">
        <v>14</v>
      </c>
      <c r="I76" t="s">
        <v>24</v>
      </c>
    </row>
    <row r="77" spans="1:9" hidden="1" x14ac:dyDescent="0.2">
      <c r="A77" s="100" t="str">
        <f>HYPERLINK("https://gnats.juniper.net/web/default/1936810-3", "1936810-3")</f>
        <v>1936810-3</v>
      </c>
      <c r="B77" t="s">
        <v>67</v>
      </c>
      <c r="C77" t="s">
        <v>17</v>
      </c>
      <c r="D77" t="s">
        <v>11</v>
      </c>
      <c r="E77" t="s">
        <v>12</v>
      </c>
      <c r="G77" t="s">
        <v>13</v>
      </c>
      <c r="H77" t="s">
        <v>14</v>
      </c>
      <c r="I77" t="s">
        <v>24</v>
      </c>
    </row>
    <row r="78" spans="1:9" hidden="1" x14ac:dyDescent="0.2">
      <c r="A78" s="100" t="str">
        <f>HYPERLINK("https://gnats.juniper.net/web/default/1937041-1", "1937041-1")</f>
        <v>1937041-1</v>
      </c>
      <c r="B78" t="s">
        <v>68</v>
      </c>
      <c r="C78" t="s">
        <v>17</v>
      </c>
      <c r="D78" t="s">
        <v>11</v>
      </c>
      <c r="E78" t="s">
        <v>12</v>
      </c>
      <c r="G78" t="s">
        <v>17</v>
      </c>
      <c r="H78" t="s">
        <v>14</v>
      </c>
      <c r="I78" t="s">
        <v>69</v>
      </c>
    </row>
    <row r="79" spans="1:9" hidden="1" x14ac:dyDescent="0.2">
      <c r="A79" s="100" t="str">
        <f>HYPERLINK("https://gnats.juniper.net/web/default/1937041-2", "1937041-2")</f>
        <v>1937041-2</v>
      </c>
      <c r="B79" t="s">
        <v>68</v>
      </c>
      <c r="C79" t="s">
        <v>17</v>
      </c>
      <c r="D79" t="s">
        <v>11</v>
      </c>
      <c r="E79" t="s">
        <v>12</v>
      </c>
      <c r="G79" t="s">
        <v>38</v>
      </c>
      <c r="H79" t="s">
        <v>14</v>
      </c>
      <c r="I79" t="s">
        <v>69</v>
      </c>
    </row>
    <row r="80" spans="1:9" hidden="1" x14ac:dyDescent="0.2">
      <c r="A80" s="100" t="str">
        <f>HYPERLINK("https://gnats.juniper.net/web/default/1937041-3", "1937041-3")</f>
        <v>1937041-3</v>
      </c>
      <c r="B80" t="s">
        <v>68</v>
      </c>
      <c r="C80" t="s">
        <v>13</v>
      </c>
      <c r="D80" t="s">
        <v>11</v>
      </c>
      <c r="E80" t="s">
        <v>12</v>
      </c>
      <c r="G80" t="s">
        <v>13</v>
      </c>
      <c r="H80" t="s">
        <v>14</v>
      </c>
      <c r="I80" t="s">
        <v>69</v>
      </c>
    </row>
    <row r="81" spans="1:9" hidden="1" x14ac:dyDescent="0.2">
      <c r="A81" s="100" t="str">
        <f>HYPERLINK("https://gnats.juniper.net/web/default/1937045-1", "1937045-1")</f>
        <v>1937045-1</v>
      </c>
      <c r="B81" t="s">
        <v>70</v>
      </c>
      <c r="C81" t="s">
        <v>17</v>
      </c>
      <c r="D81" t="s">
        <v>11</v>
      </c>
      <c r="E81" t="s">
        <v>12</v>
      </c>
      <c r="G81" t="s">
        <v>17</v>
      </c>
      <c r="H81" t="s">
        <v>14</v>
      </c>
      <c r="I81" t="s">
        <v>69</v>
      </c>
    </row>
    <row r="82" spans="1:9" hidden="1" x14ac:dyDescent="0.2">
      <c r="A82" s="100" t="str">
        <f>HYPERLINK("https://gnats.juniper.net/web/default/1937045-2", "1937045-2")</f>
        <v>1937045-2</v>
      </c>
      <c r="B82" t="s">
        <v>70</v>
      </c>
      <c r="C82" t="s">
        <v>17</v>
      </c>
      <c r="D82" t="s">
        <v>11</v>
      </c>
      <c r="E82" t="s">
        <v>12</v>
      </c>
      <c r="G82" t="s">
        <v>38</v>
      </c>
      <c r="H82" t="s">
        <v>14</v>
      </c>
      <c r="I82" t="s">
        <v>69</v>
      </c>
    </row>
    <row r="83" spans="1:9" hidden="1" x14ac:dyDescent="0.2">
      <c r="A83" s="100" t="str">
        <f>HYPERLINK("https://gnats.juniper.net/web/default/1937045-3", "1937045-3")</f>
        <v>1937045-3</v>
      </c>
      <c r="B83" t="s">
        <v>70</v>
      </c>
      <c r="C83" t="s">
        <v>13</v>
      </c>
      <c r="D83" t="s">
        <v>11</v>
      </c>
      <c r="E83" t="s">
        <v>12</v>
      </c>
      <c r="G83" t="s">
        <v>13</v>
      </c>
      <c r="H83" t="s">
        <v>14</v>
      </c>
      <c r="I83" t="s">
        <v>69</v>
      </c>
    </row>
    <row r="84" spans="1:9" hidden="1" x14ac:dyDescent="0.2">
      <c r="A84" s="100" t="str">
        <f>HYPERLINK("https://gnats.juniper.net/web/default/1937124-1", "1937124-1")</f>
        <v>1937124-1</v>
      </c>
      <c r="B84" t="s">
        <v>71</v>
      </c>
      <c r="C84" t="s">
        <v>17</v>
      </c>
      <c r="D84" t="s">
        <v>11</v>
      </c>
      <c r="E84" t="s">
        <v>12</v>
      </c>
      <c r="G84" t="s">
        <v>17</v>
      </c>
      <c r="H84" t="s">
        <v>14</v>
      </c>
      <c r="I84" t="s">
        <v>69</v>
      </c>
    </row>
    <row r="85" spans="1:9" hidden="1" x14ac:dyDescent="0.2">
      <c r="A85" s="100" t="str">
        <f>HYPERLINK("https://gnats.juniper.net/web/default/1937124-2", "1937124-2")</f>
        <v>1937124-2</v>
      </c>
      <c r="B85" t="s">
        <v>71</v>
      </c>
      <c r="C85" t="s">
        <v>17</v>
      </c>
      <c r="D85" t="s">
        <v>11</v>
      </c>
      <c r="E85" t="s">
        <v>12</v>
      </c>
      <c r="G85" t="s">
        <v>38</v>
      </c>
      <c r="H85" t="s">
        <v>14</v>
      </c>
      <c r="I85" t="s">
        <v>69</v>
      </c>
    </row>
    <row r="86" spans="1:9" hidden="1" x14ac:dyDescent="0.2">
      <c r="A86" s="100" t="str">
        <f>HYPERLINK("https://gnats.juniper.net/web/default/1937124-3", "1937124-3")</f>
        <v>1937124-3</v>
      </c>
      <c r="B86" t="s">
        <v>71</v>
      </c>
      <c r="C86" t="s">
        <v>13</v>
      </c>
      <c r="D86" t="s">
        <v>11</v>
      </c>
      <c r="E86" t="s">
        <v>12</v>
      </c>
      <c r="G86" t="s">
        <v>13</v>
      </c>
      <c r="H86" t="s">
        <v>14</v>
      </c>
      <c r="I86" t="s">
        <v>69</v>
      </c>
    </row>
    <row r="87" spans="1:9" hidden="1" x14ac:dyDescent="0.2">
      <c r="A87" s="100" t="str">
        <f>HYPERLINK("https://gnats.juniper.net/web/default/1937537-1", "1937537-1")</f>
        <v>1937537-1</v>
      </c>
      <c r="B87" t="s">
        <v>72</v>
      </c>
      <c r="C87" t="s">
        <v>17</v>
      </c>
      <c r="D87" t="s">
        <v>11</v>
      </c>
      <c r="E87" t="s">
        <v>12</v>
      </c>
      <c r="F87" t="s">
        <v>22</v>
      </c>
      <c r="G87" t="s">
        <v>17</v>
      </c>
      <c r="H87" t="s">
        <v>14</v>
      </c>
      <c r="I87" t="s">
        <v>73</v>
      </c>
    </row>
    <row r="88" spans="1:9" hidden="1" x14ac:dyDescent="0.2">
      <c r="A88" s="100" t="str">
        <f>HYPERLINK("https://gnats.juniper.net/web/default/1937537-2", "1937537-2")</f>
        <v>1937537-2</v>
      </c>
      <c r="B88" t="s">
        <v>72</v>
      </c>
      <c r="C88" t="s">
        <v>17</v>
      </c>
      <c r="D88" t="s">
        <v>11</v>
      </c>
      <c r="E88" t="s">
        <v>12</v>
      </c>
      <c r="F88" t="s">
        <v>22</v>
      </c>
      <c r="G88" t="s">
        <v>38</v>
      </c>
      <c r="H88" t="s">
        <v>14</v>
      </c>
      <c r="I88" t="s">
        <v>73</v>
      </c>
    </row>
    <row r="89" spans="1:9" hidden="1" x14ac:dyDescent="0.2">
      <c r="A89" s="100" t="str">
        <f>HYPERLINK("https://gnats.juniper.net/web/default/1937537-3", "1937537-3")</f>
        <v>1937537-3</v>
      </c>
      <c r="B89" t="s">
        <v>72</v>
      </c>
      <c r="C89" t="s">
        <v>13</v>
      </c>
      <c r="D89" t="s">
        <v>11</v>
      </c>
      <c r="E89" t="s">
        <v>12</v>
      </c>
      <c r="F89" t="s">
        <v>22</v>
      </c>
      <c r="G89" t="s">
        <v>13</v>
      </c>
      <c r="H89" t="s">
        <v>14</v>
      </c>
      <c r="I89" t="s">
        <v>73</v>
      </c>
    </row>
    <row r="90" spans="1:9" x14ac:dyDescent="0.2">
      <c r="A90" s="100" t="str">
        <f>HYPERLINK("https://gnats.juniper.net/web/default/1937949-1", "1937949-1")</f>
        <v>1937949-1</v>
      </c>
      <c r="B90" t="s">
        <v>74</v>
      </c>
      <c r="C90" t="s">
        <v>13</v>
      </c>
      <c r="D90" t="s">
        <v>11</v>
      </c>
      <c r="E90" t="s">
        <v>12</v>
      </c>
      <c r="F90" t="s">
        <v>22</v>
      </c>
      <c r="G90" t="s">
        <v>38</v>
      </c>
      <c r="H90" t="s">
        <v>75</v>
      </c>
      <c r="I90" t="s">
        <v>18</v>
      </c>
    </row>
    <row r="91" spans="1:9" x14ac:dyDescent="0.2">
      <c r="A91" s="100" t="str">
        <f>HYPERLINK("https://gnats.juniper.net/web/default/1937949-2", "1937949-2")</f>
        <v>1937949-2</v>
      </c>
      <c r="B91" t="s">
        <v>74</v>
      </c>
      <c r="C91" t="s">
        <v>13</v>
      </c>
      <c r="D91" t="s">
        <v>11</v>
      </c>
      <c r="E91" t="s">
        <v>12</v>
      </c>
      <c r="G91" t="s">
        <v>17</v>
      </c>
      <c r="H91" t="s">
        <v>75</v>
      </c>
      <c r="I91" t="s">
        <v>18</v>
      </c>
    </row>
    <row r="92" spans="1:9" hidden="1" x14ac:dyDescent="0.2">
      <c r="A92" s="100" t="str">
        <f>HYPERLINK("https://gnats.juniper.net/web/default/1937949-3", "1937949-3")</f>
        <v>1937949-3</v>
      </c>
      <c r="B92" t="s">
        <v>74</v>
      </c>
      <c r="D92" t="s">
        <v>11</v>
      </c>
      <c r="E92" t="s">
        <v>12</v>
      </c>
      <c r="G92" t="s">
        <v>16</v>
      </c>
      <c r="H92" t="s">
        <v>14</v>
      </c>
      <c r="I92" t="s">
        <v>18</v>
      </c>
    </row>
    <row r="93" spans="1:9" x14ac:dyDescent="0.2">
      <c r="A93" s="100" t="str">
        <f>HYPERLINK("https://gnats.juniper.net/web/default/1937949-4", "1937949-4")</f>
        <v>1937949-4</v>
      </c>
      <c r="B93" t="s">
        <v>74</v>
      </c>
      <c r="C93" t="s">
        <v>13</v>
      </c>
      <c r="D93" t="s">
        <v>11</v>
      </c>
      <c r="E93" t="s">
        <v>12</v>
      </c>
      <c r="F93" t="s">
        <v>22</v>
      </c>
      <c r="G93" t="s">
        <v>76</v>
      </c>
      <c r="H93" t="s">
        <v>75</v>
      </c>
      <c r="I93" t="s">
        <v>18</v>
      </c>
    </row>
    <row r="94" spans="1:9" hidden="1" x14ac:dyDescent="0.2">
      <c r="A94" s="100" t="str">
        <f>HYPERLINK("https://gnats.juniper.net/web/default/1937950-1", "1937950-1")</f>
        <v>1937950-1</v>
      </c>
      <c r="B94" t="s">
        <v>77</v>
      </c>
      <c r="C94" t="s">
        <v>13</v>
      </c>
      <c r="D94" t="s">
        <v>11</v>
      </c>
      <c r="E94" t="s">
        <v>12</v>
      </c>
      <c r="F94" t="s">
        <v>22</v>
      </c>
      <c r="G94" t="s">
        <v>13</v>
      </c>
      <c r="H94" t="s">
        <v>14</v>
      </c>
      <c r="I94" t="s">
        <v>78</v>
      </c>
    </row>
    <row r="95" spans="1:9" hidden="1" x14ac:dyDescent="0.2">
      <c r="A95" s="100" t="str">
        <f>HYPERLINK("https://gnats.juniper.net/web/default/1937950-2", "1937950-2")</f>
        <v>1937950-2</v>
      </c>
      <c r="B95" t="s">
        <v>77</v>
      </c>
      <c r="C95" t="s">
        <v>13</v>
      </c>
      <c r="D95" t="s">
        <v>11</v>
      </c>
      <c r="E95" t="s">
        <v>12</v>
      </c>
      <c r="G95" t="s">
        <v>17</v>
      </c>
      <c r="H95" t="s">
        <v>14</v>
      </c>
      <c r="I95" t="s">
        <v>78</v>
      </c>
    </row>
    <row r="96" spans="1:9" hidden="1" x14ac:dyDescent="0.2">
      <c r="A96" s="100" t="str">
        <f>HYPERLINK("https://gnats.juniper.net/web/default/1937950-3", "1937950-3")</f>
        <v>1937950-3</v>
      </c>
      <c r="B96" t="s">
        <v>77</v>
      </c>
      <c r="D96" t="s">
        <v>11</v>
      </c>
      <c r="E96" t="s">
        <v>12</v>
      </c>
      <c r="G96" t="s">
        <v>16</v>
      </c>
      <c r="H96" t="s">
        <v>14</v>
      </c>
      <c r="I96" t="s">
        <v>79</v>
      </c>
    </row>
    <row r="97" spans="1:9" hidden="1" x14ac:dyDescent="0.2">
      <c r="A97" s="100" t="str">
        <f>HYPERLINK("https://gnats.juniper.net/web/default/1938096-1", "1938096-1")</f>
        <v>1938096-1</v>
      </c>
      <c r="B97" t="s">
        <v>80</v>
      </c>
      <c r="C97" t="s">
        <v>17</v>
      </c>
      <c r="D97" t="s">
        <v>11</v>
      </c>
      <c r="E97" t="s">
        <v>12</v>
      </c>
      <c r="F97" t="s">
        <v>22</v>
      </c>
      <c r="G97" t="s">
        <v>17</v>
      </c>
      <c r="H97" t="s">
        <v>14</v>
      </c>
      <c r="I97" t="s">
        <v>69</v>
      </c>
    </row>
    <row r="98" spans="1:9" hidden="1" x14ac:dyDescent="0.2">
      <c r="A98" s="100" t="str">
        <f>HYPERLINK("https://gnats.juniper.net/web/default/1938096-2", "1938096-2")</f>
        <v>1938096-2</v>
      </c>
      <c r="B98" t="s">
        <v>80</v>
      </c>
      <c r="C98" t="s">
        <v>17</v>
      </c>
      <c r="D98" t="s">
        <v>11</v>
      </c>
      <c r="E98" t="s">
        <v>12</v>
      </c>
      <c r="F98" t="s">
        <v>22</v>
      </c>
      <c r="G98" t="s">
        <v>38</v>
      </c>
      <c r="H98" t="s">
        <v>81</v>
      </c>
      <c r="I98" t="s">
        <v>18</v>
      </c>
    </row>
    <row r="99" spans="1:9" hidden="1" x14ac:dyDescent="0.2">
      <c r="A99" s="100" t="str">
        <f>HYPERLINK("https://gnats.juniper.net/web/default/1938096-3", "1938096-3")</f>
        <v>1938096-3</v>
      </c>
      <c r="B99" t="s">
        <v>80</v>
      </c>
      <c r="C99" t="s">
        <v>13</v>
      </c>
      <c r="D99" t="s">
        <v>11</v>
      </c>
      <c r="E99" t="s">
        <v>12</v>
      </c>
      <c r="F99" t="s">
        <v>22</v>
      </c>
      <c r="G99" t="s">
        <v>13</v>
      </c>
      <c r="H99" t="s">
        <v>81</v>
      </c>
      <c r="I99" t="s">
        <v>18</v>
      </c>
    </row>
    <row r="100" spans="1:9" hidden="1" x14ac:dyDescent="0.2">
      <c r="A100" s="100" t="str">
        <f>HYPERLINK("https://gnats.juniper.net/web/default/1938096-4", "1938096-4")</f>
        <v>1938096-4</v>
      </c>
      <c r="B100" t="s">
        <v>80</v>
      </c>
      <c r="C100" t="s">
        <v>42</v>
      </c>
      <c r="D100" t="s">
        <v>11</v>
      </c>
      <c r="E100" t="s">
        <v>12</v>
      </c>
      <c r="G100" t="s">
        <v>42</v>
      </c>
      <c r="H100" t="s">
        <v>81</v>
      </c>
      <c r="I100" t="s">
        <v>18</v>
      </c>
    </row>
    <row r="101" spans="1:9" hidden="1" x14ac:dyDescent="0.2">
      <c r="A101" s="100" t="str">
        <f>HYPERLINK("https://gnats.juniper.net/web/default/1938096-5", "1938096-5")</f>
        <v>1938096-5</v>
      </c>
      <c r="B101" t="s">
        <v>80</v>
      </c>
      <c r="C101" t="s">
        <v>32</v>
      </c>
      <c r="D101" t="s">
        <v>11</v>
      </c>
      <c r="E101" t="s">
        <v>12</v>
      </c>
      <c r="F101" t="s">
        <v>22</v>
      </c>
      <c r="G101" t="s">
        <v>32</v>
      </c>
      <c r="H101" t="s">
        <v>14</v>
      </c>
      <c r="I101" t="s">
        <v>69</v>
      </c>
    </row>
    <row r="102" spans="1:9" hidden="1" x14ac:dyDescent="0.2">
      <c r="A102" s="100" t="str">
        <f>HYPERLINK("https://gnats.juniper.net/web/default/1938096-6", "1938096-6")</f>
        <v>1938096-6</v>
      </c>
      <c r="B102" t="s">
        <v>80</v>
      </c>
      <c r="C102" t="s">
        <v>42</v>
      </c>
      <c r="D102" t="s">
        <v>11</v>
      </c>
      <c r="E102" t="s">
        <v>12</v>
      </c>
      <c r="G102" t="s">
        <v>41</v>
      </c>
      <c r="H102" t="s">
        <v>81</v>
      </c>
      <c r="I102" t="s">
        <v>18</v>
      </c>
    </row>
    <row r="103" spans="1:9" hidden="1" x14ac:dyDescent="0.2">
      <c r="A103" s="100" t="str">
        <f>HYPERLINK("https://gnats.juniper.net/web/default/1938163-1", "1938163-1")</f>
        <v>1938163-1</v>
      </c>
      <c r="B103" t="s">
        <v>82</v>
      </c>
      <c r="C103" t="s">
        <v>17</v>
      </c>
      <c r="D103" t="s">
        <v>83</v>
      </c>
      <c r="E103" t="s">
        <v>12</v>
      </c>
      <c r="F103" t="s">
        <v>22</v>
      </c>
      <c r="G103" t="s">
        <v>17</v>
      </c>
      <c r="H103" t="s">
        <v>14</v>
      </c>
      <c r="I103" t="s">
        <v>84</v>
      </c>
    </row>
    <row r="104" spans="1:9" hidden="1" x14ac:dyDescent="0.2">
      <c r="A104" s="100" t="str">
        <f>HYPERLINK("https://gnats.juniper.net/web/default/1938163-2", "1938163-2")</f>
        <v>1938163-2</v>
      </c>
      <c r="B104" t="s">
        <v>82</v>
      </c>
      <c r="C104" t="s">
        <v>17</v>
      </c>
      <c r="D104" t="s">
        <v>83</v>
      </c>
      <c r="E104" t="s">
        <v>12</v>
      </c>
      <c r="G104" t="s">
        <v>38</v>
      </c>
      <c r="H104" t="s">
        <v>14</v>
      </c>
      <c r="I104" t="s">
        <v>84</v>
      </c>
    </row>
    <row r="105" spans="1:9" hidden="1" x14ac:dyDescent="0.2">
      <c r="A105" s="100" t="str">
        <f>HYPERLINK("https://gnats.juniper.net/web/default/1938163-3", "1938163-3")</f>
        <v>1938163-3</v>
      </c>
      <c r="B105" t="s">
        <v>82</v>
      </c>
      <c r="C105" t="s">
        <v>13</v>
      </c>
      <c r="D105" t="s">
        <v>83</v>
      </c>
      <c r="E105" t="s">
        <v>12</v>
      </c>
      <c r="G105" t="s">
        <v>13</v>
      </c>
      <c r="H105" t="s">
        <v>81</v>
      </c>
      <c r="I105" t="s">
        <v>18</v>
      </c>
    </row>
    <row r="106" spans="1:9" hidden="1" x14ac:dyDescent="0.2">
      <c r="A106" s="100" t="str">
        <f>HYPERLINK("https://gnats.juniper.net/web/default/1938163-4", "1938163-4")</f>
        <v>1938163-4</v>
      </c>
      <c r="B106" t="s">
        <v>82</v>
      </c>
      <c r="C106" t="s">
        <v>42</v>
      </c>
      <c r="D106" t="s">
        <v>83</v>
      </c>
      <c r="E106" t="s">
        <v>12</v>
      </c>
      <c r="G106" t="s">
        <v>42</v>
      </c>
      <c r="H106" t="s">
        <v>14</v>
      </c>
      <c r="I106" t="s">
        <v>84</v>
      </c>
    </row>
    <row r="107" spans="1:9" hidden="1" x14ac:dyDescent="0.2">
      <c r="A107" s="100" t="str">
        <f>HYPERLINK("https://gnats.juniper.net/web/default/1938163-5", "1938163-5")</f>
        <v>1938163-5</v>
      </c>
      <c r="B107" t="s">
        <v>82</v>
      </c>
      <c r="C107" t="s">
        <v>41</v>
      </c>
      <c r="D107" t="s">
        <v>83</v>
      </c>
      <c r="E107" t="s">
        <v>12</v>
      </c>
      <c r="G107" t="s">
        <v>41</v>
      </c>
      <c r="H107" t="s">
        <v>81</v>
      </c>
      <c r="I107" t="s">
        <v>18</v>
      </c>
    </row>
    <row r="108" spans="1:9" hidden="1" x14ac:dyDescent="0.2">
      <c r="A108" s="100" t="str">
        <f>HYPERLINK("https://gnats.juniper.net/web/default/1938166-1", "1938166-1")</f>
        <v>1938166-1</v>
      </c>
      <c r="B108" t="s">
        <v>85</v>
      </c>
      <c r="C108" t="s">
        <v>17</v>
      </c>
      <c r="D108" t="s">
        <v>11</v>
      </c>
      <c r="E108" t="s">
        <v>12</v>
      </c>
      <c r="F108" t="s">
        <v>22</v>
      </c>
      <c r="G108" t="s">
        <v>17</v>
      </c>
      <c r="H108" t="s">
        <v>14</v>
      </c>
      <c r="I108" t="s">
        <v>86</v>
      </c>
    </row>
    <row r="109" spans="1:9" hidden="1" x14ac:dyDescent="0.2">
      <c r="A109" s="100" t="str">
        <f>HYPERLINK("https://gnats.juniper.net/web/default/1938166-2", "1938166-2")</f>
        <v>1938166-2</v>
      </c>
      <c r="B109" t="s">
        <v>85</v>
      </c>
      <c r="C109" t="s">
        <v>17</v>
      </c>
      <c r="D109" t="s">
        <v>11</v>
      </c>
      <c r="E109" t="s">
        <v>12</v>
      </c>
      <c r="G109" t="s">
        <v>38</v>
      </c>
      <c r="H109" t="s">
        <v>14</v>
      </c>
      <c r="I109" t="s">
        <v>86</v>
      </c>
    </row>
    <row r="110" spans="1:9" hidden="1" x14ac:dyDescent="0.2">
      <c r="A110" s="100" t="str">
        <f>HYPERLINK("https://gnats.juniper.net/web/default/1938166-3", "1938166-3")</f>
        <v>1938166-3</v>
      </c>
      <c r="B110" t="s">
        <v>85</v>
      </c>
      <c r="C110" t="s">
        <v>13</v>
      </c>
      <c r="D110" t="s">
        <v>11</v>
      </c>
      <c r="E110" t="s">
        <v>12</v>
      </c>
      <c r="G110" t="s">
        <v>13</v>
      </c>
      <c r="H110" t="s">
        <v>14</v>
      </c>
      <c r="I110" t="s">
        <v>86</v>
      </c>
    </row>
    <row r="111" spans="1:9" hidden="1" x14ac:dyDescent="0.2">
      <c r="A111" s="100" t="str">
        <f>HYPERLINK("https://gnats.juniper.net/web/default/1938166-4", "1938166-4")</f>
        <v>1938166-4</v>
      </c>
      <c r="B111" t="s">
        <v>85</v>
      </c>
      <c r="C111" t="s">
        <v>87</v>
      </c>
      <c r="D111" t="s">
        <v>11</v>
      </c>
      <c r="E111" t="s">
        <v>12</v>
      </c>
      <c r="G111" t="s">
        <v>42</v>
      </c>
      <c r="H111" t="s">
        <v>14</v>
      </c>
      <c r="I111" t="s">
        <v>86</v>
      </c>
    </row>
    <row r="112" spans="1:9" hidden="1" x14ac:dyDescent="0.2">
      <c r="A112" s="100" t="str">
        <f>HYPERLINK("https://gnats.juniper.net/web/default/1938166-5", "1938166-5")</f>
        <v>1938166-5</v>
      </c>
      <c r="B112" t="s">
        <v>85</v>
      </c>
      <c r="C112" t="s">
        <v>87</v>
      </c>
      <c r="D112" t="s">
        <v>11</v>
      </c>
      <c r="E112" t="s">
        <v>12</v>
      </c>
      <c r="F112" t="s">
        <v>22</v>
      </c>
      <c r="G112" t="s">
        <v>32</v>
      </c>
      <c r="H112" t="s">
        <v>14</v>
      </c>
      <c r="I112" t="s">
        <v>86</v>
      </c>
    </row>
    <row r="113" spans="1:9" hidden="1" x14ac:dyDescent="0.2">
      <c r="A113" s="100" t="str">
        <f>HYPERLINK("https://gnats.juniper.net/web/default/1938166-6", "1938166-6")</f>
        <v>1938166-6</v>
      </c>
      <c r="B113" t="s">
        <v>85</v>
      </c>
      <c r="D113" t="s">
        <v>11</v>
      </c>
      <c r="E113" t="s">
        <v>12</v>
      </c>
      <c r="G113" t="s">
        <v>43</v>
      </c>
      <c r="H113" t="s">
        <v>14</v>
      </c>
      <c r="I113" t="s">
        <v>86</v>
      </c>
    </row>
    <row r="114" spans="1:9" hidden="1" x14ac:dyDescent="0.2">
      <c r="A114" s="100" t="str">
        <f>HYPERLINK("https://gnats.juniper.net/web/default/1938166-7", "1938166-7")</f>
        <v>1938166-7</v>
      </c>
      <c r="B114" t="s">
        <v>85</v>
      </c>
      <c r="C114" t="s">
        <v>87</v>
      </c>
      <c r="D114" t="s">
        <v>11</v>
      </c>
      <c r="E114" t="s">
        <v>12</v>
      </c>
      <c r="G114" t="s">
        <v>41</v>
      </c>
      <c r="H114" t="s">
        <v>14</v>
      </c>
      <c r="I114" t="s">
        <v>86</v>
      </c>
    </row>
    <row r="115" spans="1:9" hidden="1" x14ac:dyDescent="0.2">
      <c r="A115" s="100" t="str">
        <f>HYPERLINK("https://gnats.juniper.net/web/default/1938166-8", "1938166-8")</f>
        <v>1938166-8</v>
      </c>
      <c r="B115" t="s">
        <v>85</v>
      </c>
      <c r="C115" t="s">
        <v>10</v>
      </c>
      <c r="D115" t="s">
        <v>11</v>
      </c>
      <c r="E115" t="s">
        <v>12</v>
      </c>
      <c r="G115" t="s">
        <v>76</v>
      </c>
      <c r="H115" t="s">
        <v>14</v>
      </c>
      <c r="I115" t="s">
        <v>86</v>
      </c>
    </row>
    <row r="116" spans="1:9" hidden="1" x14ac:dyDescent="0.2">
      <c r="A116" s="100" t="str">
        <f>HYPERLINK("https://gnats.juniper.net/web/default/1938338-1", "1938338-1")</f>
        <v>1938338-1</v>
      </c>
      <c r="B116" t="s">
        <v>88</v>
      </c>
      <c r="C116" t="s">
        <v>17</v>
      </c>
      <c r="D116" t="s">
        <v>11</v>
      </c>
      <c r="E116" t="s">
        <v>12</v>
      </c>
      <c r="G116" t="s">
        <v>17</v>
      </c>
      <c r="H116" t="s">
        <v>14</v>
      </c>
      <c r="I116" t="s">
        <v>28</v>
      </c>
    </row>
    <row r="117" spans="1:9" hidden="1" x14ac:dyDescent="0.2">
      <c r="A117" s="100" t="str">
        <f>HYPERLINK("https://gnats.juniper.net/web/default/1938338-2", "1938338-2")</f>
        <v>1938338-2</v>
      </c>
      <c r="B117" t="s">
        <v>88</v>
      </c>
      <c r="C117" t="s">
        <v>17</v>
      </c>
      <c r="D117" t="s">
        <v>11</v>
      </c>
      <c r="E117" t="s">
        <v>12</v>
      </c>
      <c r="G117" t="s">
        <v>38</v>
      </c>
      <c r="H117" t="s">
        <v>14</v>
      </c>
      <c r="I117" t="s">
        <v>28</v>
      </c>
    </row>
    <row r="118" spans="1:9" hidden="1" x14ac:dyDescent="0.2">
      <c r="A118" s="100" t="str">
        <f>HYPERLINK("https://gnats.juniper.net/web/default/1938338-3", "1938338-3")</f>
        <v>1938338-3</v>
      </c>
      <c r="B118" t="s">
        <v>88</v>
      </c>
      <c r="C118" t="s">
        <v>13</v>
      </c>
      <c r="D118" t="s">
        <v>11</v>
      </c>
      <c r="E118" t="s">
        <v>12</v>
      </c>
      <c r="G118" t="s">
        <v>13</v>
      </c>
      <c r="H118" t="s">
        <v>81</v>
      </c>
      <c r="I118" t="s">
        <v>18</v>
      </c>
    </row>
    <row r="119" spans="1:9" hidden="1" x14ac:dyDescent="0.2">
      <c r="A119" s="100" t="str">
        <f>HYPERLINK("https://gnats.juniper.net/web/default/1938338-4", "1938338-4")</f>
        <v>1938338-4</v>
      </c>
      <c r="B119" t="s">
        <v>88</v>
      </c>
      <c r="C119" t="s">
        <v>42</v>
      </c>
      <c r="D119" t="s">
        <v>11</v>
      </c>
      <c r="E119" t="s">
        <v>12</v>
      </c>
      <c r="G119" t="s">
        <v>42</v>
      </c>
      <c r="H119" t="s">
        <v>81</v>
      </c>
      <c r="I119" t="s">
        <v>18</v>
      </c>
    </row>
    <row r="120" spans="1:9" x14ac:dyDescent="0.2">
      <c r="A120" s="100" t="str">
        <f>HYPERLINK("https://gnats.juniper.net/web/default/1938338-5", "1938338-5")</f>
        <v>1938338-5</v>
      </c>
      <c r="B120" t="s">
        <v>88</v>
      </c>
      <c r="C120" t="s">
        <v>32</v>
      </c>
      <c r="D120" t="s">
        <v>11</v>
      </c>
      <c r="E120" t="s">
        <v>12</v>
      </c>
      <c r="F120" t="s">
        <v>22</v>
      </c>
      <c r="G120" t="s">
        <v>32</v>
      </c>
      <c r="H120" t="s">
        <v>89</v>
      </c>
      <c r="I120" t="s">
        <v>28</v>
      </c>
    </row>
    <row r="121" spans="1:9" hidden="1" x14ac:dyDescent="0.2">
      <c r="A121" s="100" t="str">
        <f>HYPERLINK("https://gnats.juniper.net/web/default/1938338-6", "1938338-6")</f>
        <v>1938338-6</v>
      </c>
      <c r="B121" t="s">
        <v>88</v>
      </c>
      <c r="C121" t="s">
        <v>31</v>
      </c>
      <c r="D121" t="s">
        <v>11</v>
      </c>
      <c r="E121" t="s">
        <v>12</v>
      </c>
      <c r="G121" t="s">
        <v>41</v>
      </c>
      <c r="H121" t="s">
        <v>81</v>
      </c>
      <c r="I121" t="s">
        <v>18</v>
      </c>
    </row>
    <row r="122" spans="1:9" hidden="1" x14ac:dyDescent="0.2">
      <c r="A122" s="100" t="str">
        <f>HYPERLINK("https://gnats.juniper.net/web/default/1938381-1", "1938381-1")</f>
        <v>1938381-1</v>
      </c>
      <c r="B122" t="s">
        <v>90</v>
      </c>
      <c r="C122" t="s">
        <v>17</v>
      </c>
      <c r="D122" t="s">
        <v>11</v>
      </c>
      <c r="E122" t="s">
        <v>12</v>
      </c>
      <c r="G122" t="s">
        <v>17</v>
      </c>
      <c r="H122" t="s">
        <v>14</v>
      </c>
      <c r="I122" t="s">
        <v>66</v>
      </c>
    </row>
    <row r="123" spans="1:9" hidden="1" x14ac:dyDescent="0.2">
      <c r="A123" s="100" t="str">
        <f>HYPERLINK("https://gnats.juniper.net/web/default/1938381-2", "1938381-2")</f>
        <v>1938381-2</v>
      </c>
      <c r="B123" t="s">
        <v>90</v>
      </c>
      <c r="C123" t="s">
        <v>17</v>
      </c>
      <c r="D123" t="s">
        <v>11</v>
      </c>
      <c r="E123" t="s">
        <v>12</v>
      </c>
      <c r="G123" t="s">
        <v>13</v>
      </c>
      <c r="H123" t="s">
        <v>14</v>
      </c>
      <c r="I123" t="s">
        <v>66</v>
      </c>
    </row>
    <row r="124" spans="1:9" hidden="1" x14ac:dyDescent="0.2">
      <c r="A124" s="100" t="str">
        <f>HYPERLINK("https://gnats.juniper.net/web/default/1938384-1", "1938384-1")</f>
        <v>1938384-1</v>
      </c>
      <c r="B124" t="s">
        <v>91</v>
      </c>
      <c r="C124" t="s">
        <v>17</v>
      </c>
      <c r="D124" t="s">
        <v>11</v>
      </c>
      <c r="E124" t="s">
        <v>12</v>
      </c>
      <c r="G124" t="s">
        <v>17</v>
      </c>
      <c r="H124" t="s">
        <v>14</v>
      </c>
      <c r="I124" t="s">
        <v>66</v>
      </c>
    </row>
    <row r="125" spans="1:9" hidden="1" x14ac:dyDescent="0.2">
      <c r="A125" s="100" t="str">
        <f>HYPERLINK("https://gnats.juniper.net/web/default/1938384-2", "1938384-2")</f>
        <v>1938384-2</v>
      </c>
      <c r="B125" t="s">
        <v>91</v>
      </c>
      <c r="C125" t="s">
        <v>17</v>
      </c>
      <c r="D125" t="s">
        <v>11</v>
      </c>
      <c r="E125" t="s">
        <v>12</v>
      </c>
      <c r="G125" t="s">
        <v>38</v>
      </c>
      <c r="H125" t="s">
        <v>14</v>
      </c>
      <c r="I125" t="s">
        <v>66</v>
      </c>
    </row>
    <row r="126" spans="1:9" hidden="1" x14ac:dyDescent="0.2">
      <c r="A126" s="100" t="str">
        <f>HYPERLINK("https://gnats.juniper.net/web/default/1938384-3", "1938384-3")</f>
        <v>1938384-3</v>
      </c>
      <c r="B126" t="s">
        <v>91</v>
      </c>
      <c r="C126" t="s">
        <v>13</v>
      </c>
      <c r="D126" t="s">
        <v>11</v>
      </c>
      <c r="E126" t="s">
        <v>12</v>
      </c>
      <c r="G126" t="s">
        <v>13</v>
      </c>
      <c r="H126" t="s">
        <v>14</v>
      </c>
      <c r="I126" t="s">
        <v>66</v>
      </c>
    </row>
    <row r="127" spans="1:9" hidden="1" x14ac:dyDescent="0.2">
      <c r="A127" s="100" t="str">
        <f>HYPERLINK("https://gnats.juniper.net/web/default/1938500-1", "1938500-1")</f>
        <v>1938500-1</v>
      </c>
      <c r="B127" t="s">
        <v>92</v>
      </c>
      <c r="C127" t="s">
        <v>17</v>
      </c>
      <c r="D127" t="s">
        <v>93</v>
      </c>
      <c r="E127" t="s">
        <v>12</v>
      </c>
      <c r="G127" t="s">
        <v>17</v>
      </c>
      <c r="H127" t="s">
        <v>14</v>
      </c>
      <c r="I127" t="s">
        <v>40</v>
      </c>
    </row>
    <row r="128" spans="1:9" hidden="1" x14ac:dyDescent="0.2">
      <c r="A128" s="100" t="str">
        <f>HYPERLINK("https://gnats.juniper.net/web/default/1938500-2", "1938500-2")</f>
        <v>1938500-2</v>
      </c>
      <c r="B128" t="s">
        <v>92</v>
      </c>
      <c r="C128" t="s">
        <v>17</v>
      </c>
      <c r="D128" t="s">
        <v>93</v>
      </c>
      <c r="E128" t="s">
        <v>12</v>
      </c>
      <c r="G128" t="s">
        <v>38</v>
      </c>
      <c r="H128" t="s">
        <v>14</v>
      </c>
      <c r="I128" t="s">
        <v>40</v>
      </c>
    </row>
    <row r="129" spans="1:9" hidden="1" x14ac:dyDescent="0.2">
      <c r="A129" s="100" t="str">
        <f>HYPERLINK("https://gnats.juniper.net/web/default/1938500-3", "1938500-3")</f>
        <v>1938500-3</v>
      </c>
      <c r="B129" t="s">
        <v>92</v>
      </c>
      <c r="C129" t="s">
        <v>32</v>
      </c>
      <c r="D129" t="s">
        <v>93</v>
      </c>
      <c r="E129" t="s">
        <v>12</v>
      </c>
      <c r="G129" t="s">
        <v>32</v>
      </c>
      <c r="H129" t="s">
        <v>14</v>
      </c>
      <c r="I129" t="s">
        <v>40</v>
      </c>
    </row>
    <row r="130" spans="1:9" hidden="1" x14ac:dyDescent="0.2">
      <c r="A130" s="100" t="str">
        <f>HYPERLINK("https://gnats.juniper.net/web/default/1938500-4", "1938500-4")</f>
        <v>1938500-4</v>
      </c>
      <c r="B130" t="s">
        <v>92</v>
      </c>
      <c r="C130" t="s">
        <v>13</v>
      </c>
      <c r="D130" t="s">
        <v>93</v>
      </c>
      <c r="E130" t="s">
        <v>12</v>
      </c>
      <c r="G130" t="s">
        <v>13</v>
      </c>
      <c r="H130" t="s">
        <v>14</v>
      </c>
      <c r="I130" t="s">
        <v>40</v>
      </c>
    </row>
    <row r="131" spans="1:9" hidden="1" x14ac:dyDescent="0.2">
      <c r="A131" s="100" t="str">
        <f>HYPERLINK("https://gnats.juniper.net/web/default/1938573-1", "1938573-1")</f>
        <v>1938573-1</v>
      </c>
      <c r="B131" t="s">
        <v>94</v>
      </c>
      <c r="C131" t="s">
        <v>17</v>
      </c>
      <c r="D131" t="s">
        <v>95</v>
      </c>
      <c r="E131" t="s">
        <v>12</v>
      </c>
      <c r="G131" t="s">
        <v>17</v>
      </c>
      <c r="H131" t="s">
        <v>14</v>
      </c>
      <c r="I131" t="s">
        <v>79</v>
      </c>
    </row>
    <row r="132" spans="1:9" hidden="1" x14ac:dyDescent="0.2">
      <c r="A132" s="100" t="str">
        <f>HYPERLINK("https://gnats.juniper.net/web/default/1938573-2", "1938573-2")</f>
        <v>1938573-2</v>
      </c>
      <c r="B132" t="s">
        <v>94</v>
      </c>
      <c r="C132" t="s">
        <v>17</v>
      </c>
      <c r="D132" t="s">
        <v>95</v>
      </c>
      <c r="E132" t="s">
        <v>12</v>
      </c>
      <c r="G132" t="s">
        <v>13</v>
      </c>
      <c r="H132" t="s">
        <v>14</v>
      </c>
      <c r="I132" t="s">
        <v>79</v>
      </c>
    </row>
    <row r="133" spans="1:9" hidden="1" x14ac:dyDescent="0.2">
      <c r="A133" s="100" t="str">
        <f>HYPERLINK("https://gnats.juniper.net/web/default/1940432-1", "1940432-1")</f>
        <v>1940432-1</v>
      </c>
      <c r="B133" t="s">
        <v>96</v>
      </c>
      <c r="C133" t="s">
        <v>17</v>
      </c>
      <c r="D133" t="s">
        <v>47</v>
      </c>
      <c r="E133" t="s">
        <v>12</v>
      </c>
      <c r="G133" t="s">
        <v>17</v>
      </c>
      <c r="H133" t="s">
        <v>14</v>
      </c>
      <c r="I133" t="s">
        <v>97</v>
      </c>
    </row>
    <row r="134" spans="1:9" hidden="1" x14ac:dyDescent="0.2">
      <c r="A134" s="100" t="str">
        <f>HYPERLINK("https://gnats.juniper.net/web/default/1940432-2", "1940432-2")</f>
        <v>1940432-2</v>
      </c>
      <c r="B134" t="s">
        <v>96</v>
      </c>
      <c r="C134" t="s">
        <v>17</v>
      </c>
      <c r="D134" t="s">
        <v>47</v>
      </c>
      <c r="E134" t="s">
        <v>12</v>
      </c>
      <c r="G134" t="s">
        <v>13</v>
      </c>
      <c r="H134" t="s">
        <v>14</v>
      </c>
      <c r="I134" t="s">
        <v>97</v>
      </c>
    </row>
    <row r="135" spans="1:9" hidden="1" x14ac:dyDescent="0.2">
      <c r="A135" s="100" t="str">
        <f>HYPERLINK("https://gnats.juniper.net/web/default/1940444-1", "1940444-1")</f>
        <v>1940444-1</v>
      </c>
      <c r="B135" t="s">
        <v>98</v>
      </c>
      <c r="C135" t="s">
        <v>17</v>
      </c>
      <c r="D135" t="s">
        <v>11</v>
      </c>
      <c r="E135" t="s">
        <v>12</v>
      </c>
      <c r="G135" t="s">
        <v>17</v>
      </c>
      <c r="H135" t="s">
        <v>14</v>
      </c>
      <c r="I135" t="s">
        <v>53</v>
      </c>
    </row>
    <row r="136" spans="1:9" hidden="1" x14ac:dyDescent="0.2">
      <c r="A136" s="100" t="str">
        <f>HYPERLINK("https://gnats.juniper.net/web/default/1940444-2", "1940444-2")</f>
        <v>1940444-2</v>
      </c>
      <c r="B136" t="s">
        <v>98</v>
      </c>
      <c r="C136" t="s">
        <v>17</v>
      </c>
      <c r="D136" t="s">
        <v>11</v>
      </c>
      <c r="E136" t="s">
        <v>12</v>
      </c>
      <c r="G136" t="s">
        <v>38</v>
      </c>
      <c r="H136" t="s">
        <v>14</v>
      </c>
      <c r="I136" t="s">
        <v>53</v>
      </c>
    </row>
    <row r="137" spans="1:9" hidden="1" x14ac:dyDescent="0.2">
      <c r="A137" s="100" t="str">
        <f>HYPERLINK("https://gnats.juniper.net/web/default/1940444-3", "1940444-3")</f>
        <v>1940444-3</v>
      </c>
      <c r="B137" t="s">
        <v>98</v>
      </c>
      <c r="C137" t="s">
        <v>13</v>
      </c>
      <c r="D137" t="s">
        <v>11</v>
      </c>
      <c r="E137" t="s">
        <v>12</v>
      </c>
      <c r="G137" t="s">
        <v>13</v>
      </c>
      <c r="H137" t="s">
        <v>14</v>
      </c>
      <c r="I137" t="s">
        <v>53</v>
      </c>
    </row>
    <row r="138" spans="1:9" hidden="1" x14ac:dyDescent="0.2">
      <c r="A138" s="100" t="str">
        <f>HYPERLINK("https://gnats.juniper.net/web/default/1940444-4", "1940444-4")</f>
        <v>1940444-4</v>
      </c>
      <c r="B138" t="s">
        <v>98</v>
      </c>
      <c r="C138" t="s">
        <v>41</v>
      </c>
      <c r="D138" t="s">
        <v>11</v>
      </c>
      <c r="E138" t="s">
        <v>12</v>
      </c>
      <c r="G138" t="s">
        <v>41</v>
      </c>
      <c r="H138" t="s">
        <v>14</v>
      </c>
      <c r="I138" t="s">
        <v>53</v>
      </c>
    </row>
    <row r="139" spans="1:9" hidden="1" x14ac:dyDescent="0.2">
      <c r="A139" s="100" t="str">
        <f>HYPERLINK("https://gnats.juniper.net/web/default/1940444-5", "1940444-5")</f>
        <v>1940444-5</v>
      </c>
      <c r="B139" t="s">
        <v>98</v>
      </c>
      <c r="D139" t="s">
        <v>11</v>
      </c>
      <c r="E139" t="s">
        <v>12</v>
      </c>
      <c r="G139" t="s">
        <v>42</v>
      </c>
      <c r="H139" t="s">
        <v>14</v>
      </c>
      <c r="I139" t="s">
        <v>53</v>
      </c>
    </row>
    <row r="140" spans="1:9" hidden="1" x14ac:dyDescent="0.2">
      <c r="A140" s="100" t="str">
        <f>HYPERLINK("https://gnats.juniper.net/web/default/1940444-6", "1940444-6")</f>
        <v>1940444-6</v>
      </c>
      <c r="B140" t="s">
        <v>98</v>
      </c>
      <c r="C140" t="s">
        <v>31</v>
      </c>
      <c r="D140" t="s">
        <v>11</v>
      </c>
      <c r="E140" t="s">
        <v>12</v>
      </c>
      <c r="F140" t="s">
        <v>22</v>
      </c>
      <c r="G140" t="s">
        <v>32</v>
      </c>
      <c r="H140" t="s">
        <v>14</v>
      </c>
      <c r="I140" t="s">
        <v>53</v>
      </c>
    </row>
    <row r="141" spans="1:9" hidden="1" x14ac:dyDescent="0.2">
      <c r="A141" s="100" t="str">
        <f>HYPERLINK("https://gnats.juniper.net/web/default/1940444-7", "1940444-7")</f>
        <v>1940444-7</v>
      </c>
      <c r="B141" t="s">
        <v>98</v>
      </c>
      <c r="D141" t="s">
        <v>11</v>
      </c>
      <c r="E141" t="s">
        <v>12</v>
      </c>
      <c r="G141" t="s">
        <v>99</v>
      </c>
      <c r="H141" t="s">
        <v>14</v>
      </c>
      <c r="I141" t="s">
        <v>53</v>
      </c>
    </row>
    <row r="142" spans="1:9" hidden="1" x14ac:dyDescent="0.2">
      <c r="A142" s="100" t="str">
        <f>HYPERLINK("https://gnats.juniper.net/web/default/1940444-8", "1940444-8")</f>
        <v>1940444-8</v>
      </c>
      <c r="B142" t="s">
        <v>98</v>
      </c>
      <c r="D142" t="s">
        <v>11</v>
      </c>
      <c r="E142" t="s">
        <v>12</v>
      </c>
      <c r="G142" t="s">
        <v>100</v>
      </c>
      <c r="H142" t="s">
        <v>14</v>
      </c>
      <c r="I142" t="s">
        <v>53</v>
      </c>
    </row>
    <row r="143" spans="1:9" hidden="1" x14ac:dyDescent="0.2">
      <c r="A143" s="100" t="str">
        <f>HYPERLINK("https://gnats.juniper.net/web/default/1940444-9", "1940444-9")</f>
        <v>1940444-9</v>
      </c>
      <c r="B143" t="s">
        <v>98</v>
      </c>
      <c r="D143" t="s">
        <v>11</v>
      </c>
      <c r="E143" t="s">
        <v>12</v>
      </c>
      <c r="G143" t="s">
        <v>101</v>
      </c>
      <c r="H143" t="s">
        <v>14</v>
      </c>
      <c r="I143" t="s">
        <v>53</v>
      </c>
    </row>
    <row r="144" spans="1:9" hidden="1" x14ac:dyDescent="0.2">
      <c r="A144" s="100" t="str">
        <f>HYPERLINK("https://gnats.juniper.net/web/default/1940445-1", "1940445-1")</f>
        <v>1940445-1</v>
      </c>
      <c r="B144" t="s">
        <v>102</v>
      </c>
      <c r="C144" t="s">
        <v>17</v>
      </c>
      <c r="D144" t="s">
        <v>47</v>
      </c>
      <c r="E144" t="s">
        <v>12</v>
      </c>
      <c r="G144" t="s">
        <v>17</v>
      </c>
      <c r="H144" t="s">
        <v>14</v>
      </c>
      <c r="I144" t="s">
        <v>103</v>
      </c>
    </row>
    <row r="145" spans="1:9" hidden="1" x14ac:dyDescent="0.2">
      <c r="A145" s="100" t="str">
        <f>HYPERLINK("https://gnats.juniper.net/web/default/1940445-2", "1940445-2")</f>
        <v>1940445-2</v>
      </c>
      <c r="B145" t="s">
        <v>102</v>
      </c>
      <c r="C145" t="s">
        <v>17</v>
      </c>
      <c r="D145" t="s">
        <v>47</v>
      </c>
      <c r="E145" t="s">
        <v>12</v>
      </c>
      <c r="G145" t="s">
        <v>38</v>
      </c>
      <c r="H145" t="s">
        <v>14</v>
      </c>
      <c r="I145" t="s">
        <v>103</v>
      </c>
    </row>
    <row r="146" spans="1:9" hidden="1" x14ac:dyDescent="0.2">
      <c r="A146" s="100" t="str">
        <f>HYPERLINK("https://gnats.juniper.net/web/default/1940445-3", "1940445-3")</f>
        <v>1940445-3</v>
      </c>
      <c r="B146" t="s">
        <v>102</v>
      </c>
      <c r="C146" t="s">
        <v>13</v>
      </c>
      <c r="D146" t="s">
        <v>47</v>
      </c>
      <c r="E146" t="s">
        <v>12</v>
      </c>
      <c r="G146" t="s">
        <v>13</v>
      </c>
      <c r="H146" t="s">
        <v>14</v>
      </c>
      <c r="I146" t="s">
        <v>103</v>
      </c>
    </row>
    <row r="147" spans="1:9" hidden="1" x14ac:dyDescent="0.2">
      <c r="A147" s="100" t="str">
        <f>HYPERLINK("https://gnats.juniper.net/web/default/1940445-4", "1940445-4")</f>
        <v>1940445-4</v>
      </c>
      <c r="B147" t="s">
        <v>102</v>
      </c>
      <c r="C147" t="s">
        <v>32</v>
      </c>
      <c r="D147" t="s">
        <v>47</v>
      </c>
      <c r="E147" t="s">
        <v>12</v>
      </c>
      <c r="F147" t="s">
        <v>30</v>
      </c>
      <c r="G147" t="s">
        <v>32</v>
      </c>
      <c r="H147" t="s">
        <v>14</v>
      </c>
      <c r="I147" t="s">
        <v>103</v>
      </c>
    </row>
    <row r="148" spans="1:9" hidden="1" x14ac:dyDescent="0.2">
      <c r="A148" s="100" t="str">
        <f>HYPERLINK("https://gnats.juniper.net/web/default/1940445-5", "1940445-5")</f>
        <v>1940445-5</v>
      </c>
      <c r="B148" t="s">
        <v>102</v>
      </c>
      <c r="C148" t="s">
        <v>42</v>
      </c>
      <c r="D148" t="s">
        <v>47</v>
      </c>
      <c r="E148" t="s">
        <v>12</v>
      </c>
      <c r="G148" t="s">
        <v>42</v>
      </c>
      <c r="H148" t="s">
        <v>14</v>
      </c>
      <c r="I148" t="s">
        <v>103</v>
      </c>
    </row>
    <row r="149" spans="1:9" hidden="1" x14ac:dyDescent="0.2">
      <c r="A149" s="100" t="str">
        <f>HYPERLINK("https://gnats.juniper.net/web/default/1940445-6", "1940445-6")</f>
        <v>1940445-6</v>
      </c>
      <c r="B149" t="s">
        <v>102</v>
      </c>
      <c r="C149" t="s">
        <v>41</v>
      </c>
      <c r="D149" t="s">
        <v>47</v>
      </c>
      <c r="E149" t="s">
        <v>12</v>
      </c>
      <c r="G149" t="s">
        <v>41</v>
      </c>
      <c r="H149" t="s">
        <v>14</v>
      </c>
      <c r="I149" t="s">
        <v>103</v>
      </c>
    </row>
    <row r="150" spans="1:9" hidden="1" x14ac:dyDescent="0.2">
      <c r="A150" s="100" t="str">
        <f>HYPERLINK("https://gnats.juniper.net/web/default/1940445-7", "1940445-7")</f>
        <v>1940445-7</v>
      </c>
      <c r="B150" t="s">
        <v>102</v>
      </c>
      <c r="C150" t="s">
        <v>43</v>
      </c>
      <c r="D150" t="s">
        <v>47</v>
      </c>
      <c r="E150" t="s">
        <v>12</v>
      </c>
      <c r="G150" t="s">
        <v>43</v>
      </c>
      <c r="H150" t="s">
        <v>14</v>
      </c>
      <c r="I150" t="s">
        <v>103</v>
      </c>
    </row>
    <row r="151" spans="1:9" hidden="1" x14ac:dyDescent="0.2">
      <c r="A151" s="100" t="str">
        <f>HYPERLINK("https://gnats.juniper.net/web/default/1940445-8", "1940445-8")</f>
        <v>1940445-8</v>
      </c>
      <c r="B151" t="s">
        <v>102</v>
      </c>
      <c r="C151" t="s">
        <v>16</v>
      </c>
      <c r="D151" t="s">
        <v>47</v>
      </c>
      <c r="E151" t="s">
        <v>12</v>
      </c>
      <c r="G151" t="s">
        <v>16</v>
      </c>
      <c r="H151" t="s">
        <v>14</v>
      </c>
      <c r="I151" t="s">
        <v>103</v>
      </c>
    </row>
    <row r="152" spans="1:9" hidden="1" x14ac:dyDescent="0.2">
      <c r="A152" s="100" t="str">
        <f>HYPERLINK("https://gnats.juniper.net/web/default/1940446-1", "1940446-1")</f>
        <v>1940446-1</v>
      </c>
      <c r="B152" t="s">
        <v>104</v>
      </c>
      <c r="C152" t="s">
        <v>17</v>
      </c>
      <c r="D152" t="s">
        <v>47</v>
      </c>
      <c r="E152" t="s">
        <v>12</v>
      </c>
      <c r="G152" t="s">
        <v>17</v>
      </c>
      <c r="H152" t="s">
        <v>14</v>
      </c>
      <c r="I152" t="s">
        <v>51</v>
      </c>
    </row>
    <row r="153" spans="1:9" x14ac:dyDescent="0.2">
      <c r="A153" s="100" t="str">
        <f>HYPERLINK("https://gnats.juniper.net/web/default/1940446-2", "1940446-2")</f>
        <v>1940446-2</v>
      </c>
      <c r="B153" t="s">
        <v>104</v>
      </c>
      <c r="C153" t="s">
        <v>17</v>
      </c>
      <c r="D153" t="s">
        <v>47</v>
      </c>
      <c r="E153" t="s">
        <v>12</v>
      </c>
      <c r="G153" t="s">
        <v>105</v>
      </c>
      <c r="H153" t="s">
        <v>106</v>
      </c>
      <c r="I153" t="s">
        <v>51</v>
      </c>
    </row>
    <row r="154" spans="1:9" hidden="1" x14ac:dyDescent="0.2">
      <c r="A154" s="100" t="str">
        <f>HYPERLINK("https://gnats.juniper.net/web/default/1940446-3", "1940446-3")</f>
        <v>1940446-3</v>
      </c>
      <c r="B154" t="s">
        <v>104</v>
      </c>
      <c r="C154" t="s">
        <v>13</v>
      </c>
      <c r="D154" t="s">
        <v>47</v>
      </c>
      <c r="E154" t="s">
        <v>12</v>
      </c>
      <c r="G154" t="s">
        <v>13</v>
      </c>
      <c r="H154" t="s">
        <v>14</v>
      </c>
      <c r="I154" t="s">
        <v>51</v>
      </c>
    </row>
    <row r="155" spans="1:9" hidden="1" x14ac:dyDescent="0.2">
      <c r="A155" s="100" t="str">
        <f>HYPERLINK("https://gnats.juniper.net/web/default/1940446-4", "1940446-4")</f>
        <v>1940446-4</v>
      </c>
      <c r="B155" t="s">
        <v>104</v>
      </c>
      <c r="C155" t="s">
        <v>107</v>
      </c>
      <c r="D155" t="s">
        <v>47</v>
      </c>
      <c r="E155" t="s">
        <v>12</v>
      </c>
      <c r="G155" t="s">
        <v>107</v>
      </c>
      <c r="H155" t="s">
        <v>14</v>
      </c>
      <c r="I155" t="s">
        <v>60</v>
      </c>
    </row>
    <row r="156" spans="1:9" hidden="1" x14ac:dyDescent="0.2">
      <c r="A156" s="100" t="str">
        <f>HYPERLINK("https://gnats.juniper.net/web/default/1940446-5", "1940446-5")</f>
        <v>1940446-5</v>
      </c>
      <c r="B156" t="s">
        <v>104</v>
      </c>
      <c r="C156" t="s">
        <v>108</v>
      </c>
      <c r="D156" t="s">
        <v>47</v>
      </c>
      <c r="E156" t="s">
        <v>12</v>
      </c>
      <c r="G156" t="s">
        <v>108</v>
      </c>
      <c r="H156" t="s">
        <v>81</v>
      </c>
      <c r="I156" t="s">
        <v>18</v>
      </c>
    </row>
    <row r="157" spans="1:9" hidden="1" x14ac:dyDescent="0.2">
      <c r="A157" s="100" t="str">
        <f>HYPERLINK("https://gnats.juniper.net/web/default/1940446-6", "1940446-6")</f>
        <v>1940446-6</v>
      </c>
      <c r="B157" t="s">
        <v>104</v>
      </c>
      <c r="C157" t="s">
        <v>32</v>
      </c>
      <c r="D157" t="s">
        <v>47</v>
      </c>
      <c r="E157" t="s">
        <v>12</v>
      </c>
      <c r="F157" t="s">
        <v>30</v>
      </c>
      <c r="G157" t="s">
        <v>32</v>
      </c>
      <c r="H157" t="s">
        <v>14</v>
      </c>
      <c r="I157" t="s">
        <v>103</v>
      </c>
    </row>
    <row r="158" spans="1:9" hidden="1" x14ac:dyDescent="0.2">
      <c r="A158" s="100" t="str">
        <f>HYPERLINK("https://gnats.juniper.net/web/default/1940446-7", "1940446-7")</f>
        <v>1940446-7</v>
      </c>
      <c r="B158" t="s">
        <v>104</v>
      </c>
      <c r="C158" t="s">
        <v>17</v>
      </c>
      <c r="D158" t="s">
        <v>47</v>
      </c>
      <c r="E158" t="s">
        <v>12</v>
      </c>
      <c r="G158" t="s">
        <v>16</v>
      </c>
      <c r="H158" t="s">
        <v>81</v>
      </c>
      <c r="I158" t="s">
        <v>18</v>
      </c>
    </row>
    <row r="159" spans="1:9" hidden="1" x14ac:dyDescent="0.2">
      <c r="A159" s="100" t="str">
        <f>HYPERLINK("https://gnats.juniper.net/web/default/1940446-8", "1940446-8")</f>
        <v>1940446-8</v>
      </c>
      <c r="B159" t="s">
        <v>104</v>
      </c>
      <c r="D159" t="s">
        <v>47</v>
      </c>
      <c r="E159" t="s">
        <v>12</v>
      </c>
      <c r="G159" t="s">
        <v>43</v>
      </c>
      <c r="H159" t="s">
        <v>81</v>
      </c>
      <c r="I159" t="s">
        <v>18</v>
      </c>
    </row>
    <row r="160" spans="1:9" x14ac:dyDescent="0.2">
      <c r="A160" s="100" t="str">
        <f>HYPERLINK("https://gnats.juniper.net/web/default/1940446-9", "1940446-9")</f>
        <v>1940446-9</v>
      </c>
      <c r="B160" t="s">
        <v>104</v>
      </c>
      <c r="C160" t="s">
        <v>38</v>
      </c>
      <c r="D160" t="s">
        <v>47</v>
      </c>
      <c r="E160" t="s">
        <v>12</v>
      </c>
      <c r="G160" t="s">
        <v>38</v>
      </c>
      <c r="H160" t="s">
        <v>106</v>
      </c>
      <c r="I160" t="s">
        <v>51</v>
      </c>
    </row>
    <row r="161" spans="1:9" x14ac:dyDescent="0.2">
      <c r="A161" s="100" t="str">
        <f>HYPERLINK("https://gnats.juniper.net/web/default/1940446-10", "1940446-10")</f>
        <v>1940446-10</v>
      </c>
      <c r="B161" t="s">
        <v>104</v>
      </c>
      <c r="D161" t="s">
        <v>47</v>
      </c>
      <c r="E161" t="s">
        <v>12</v>
      </c>
      <c r="G161" t="s">
        <v>76</v>
      </c>
      <c r="H161" t="s">
        <v>106</v>
      </c>
      <c r="I161" t="s">
        <v>51</v>
      </c>
    </row>
    <row r="162" spans="1:9" hidden="1" x14ac:dyDescent="0.2">
      <c r="A162" s="100" t="str">
        <f>HYPERLINK("https://gnats.juniper.net/web/default/1942363-1", "1942363-1")</f>
        <v>1942363-1</v>
      </c>
      <c r="B162" t="s">
        <v>109</v>
      </c>
      <c r="C162" t="s">
        <v>17</v>
      </c>
      <c r="D162" t="s">
        <v>47</v>
      </c>
      <c r="E162" t="s">
        <v>12</v>
      </c>
      <c r="G162" t="s">
        <v>17</v>
      </c>
      <c r="H162" t="s">
        <v>14</v>
      </c>
      <c r="I162" t="s">
        <v>110</v>
      </c>
    </row>
    <row r="163" spans="1:9" hidden="1" x14ac:dyDescent="0.2">
      <c r="A163" s="100" t="str">
        <f>HYPERLINK("https://gnats.juniper.net/web/default/1942363-2", "1942363-2")</f>
        <v>1942363-2</v>
      </c>
      <c r="B163" t="s">
        <v>109</v>
      </c>
      <c r="C163" t="s">
        <v>17</v>
      </c>
      <c r="D163" t="s">
        <v>47</v>
      </c>
      <c r="E163" t="s">
        <v>12</v>
      </c>
      <c r="G163" t="s">
        <v>13</v>
      </c>
      <c r="H163" t="s">
        <v>14</v>
      </c>
      <c r="I163" t="s">
        <v>110</v>
      </c>
    </row>
    <row r="164" spans="1:9" hidden="1" x14ac:dyDescent="0.2">
      <c r="A164" s="100" t="str">
        <f>HYPERLINK("https://gnats.juniper.net/web/default/1942363-3", "1942363-3")</f>
        <v>1942363-3</v>
      </c>
      <c r="B164" t="s">
        <v>109</v>
      </c>
      <c r="C164" t="s">
        <v>17</v>
      </c>
      <c r="D164" t="s">
        <v>47</v>
      </c>
      <c r="E164" t="s">
        <v>12</v>
      </c>
      <c r="G164" t="s">
        <v>76</v>
      </c>
      <c r="H164" t="s">
        <v>14</v>
      </c>
      <c r="I164" t="s">
        <v>110</v>
      </c>
    </row>
    <row r="165" spans="1:9" hidden="1" x14ac:dyDescent="0.2">
      <c r="A165" s="100" t="str">
        <f>HYPERLINK("https://gnats.juniper.net/web/default/1942363-4", "1942363-4")</f>
        <v>1942363-4</v>
      </c>
      <c r="B165" t="s">
        <v>109</v>
      </c>
      <c r="C165" t="s">
        <v>32</v>
      </c>
      <c r="D165" t="s">
        <v>47</v>
      </c>
      <c r="E165" t="s">
        <v>12</v>
      </c>
      <c r="G165" t="s">
        <v>32</v>
      </c>
      <c r="H165" t="s">
        <v>14</v>
      </c>
      <c r="I165" t="s">
        <v>110</v>
      </c>
    </row>
    <row r="166" spans="1:9" hidden="1" x14ac:dyDescent="0.2">
      <c r="A166" s="100" t="str">
        <f>HYPERLINK("https://gnats.juniper.net/web/default/1942376-1", "1942376-1")</f>
        <v>1942376-1</v>
      </c>
      <c r="B166" t="s">
        <v>111</v>
      </c>
      <c r="C166" t="s">
        <v>17</v>
      </c>
      <c r="D166" t="s">
        <v>47</v>
      </c>
      <c r="E166" t="s">
        <v>12</v>
      </c>
      <c r="G166" t="s">
        <v>17</v>
      </c>
      <c r="H166" t="s">
        <v>81</v>
      </c>
      <c r="I166" t="s">
        <v>18</v>
      </c>
    </row>
    <row r="167" spans="1:9" hidden="1" x14ac:dyDescent="0.2">
      <c r="A167" s="100" t="str">
        <f>HYPERLINK("https://gnats.juniper.net/web/default/1942376-2", "1942376-2")</f>
        <v>1942376-2</v>
      </c>
      <c r="B167" t="s">
        <v>111</v>
      </c>
      <c r="C167" t="s">
        <v>17</v>
      </c>
      <c r="D167" t="s">
        <v>47</v>
      </c>
      <c r="E167" t="s">
        <v>12</v>
      </c>
      <c r="G167" t="s">
        <v>13</v>
      </c>
      <c r="H167" t="s">
        <v>81</v>
      </c>
      <c r="I167" t="s">
        <v>18</v>
      </c>
    </row>
    <row r="168" spans="1:9" hidden="1" x14ac:dyDescent="0.2">
      <c r="A168" s="100" t="str">
        <f>HYPERLINK("https://gnats.juniper.net/web/default/1943082-1", "1943082-1")</f>
        <v>1943082-1</v>
      </c>
      <c r="B168" t="s">
        <v>112</v>
      </c>
      <c r="C168" t="s">
        <v>17</v>
      </c>
      <c r="D168" t="s">
        <v>11</v>
      </c>
      <c r="E168" t="s">
        <v>12</v>
      </c>
      <c r="G168" t="s">
        <v>17</v>
      </c>
      <c r="H168" t="s">
        <v>14</v>
      </c>
      <c r="I168" t="s">
        <v>28</v>
      </c>
    </row>
    <row r="169" spans="1:9" hidden="1" x14ac:dyDescent="0.2">
      <c r="A169" s="100" t="str">
        <f>HYPERLINK("https://gnats.juniper.net/web/default/1943082-2", "1943082-2")</f>
        <v>1943082-2</v>
      </c>
      <c r="B169" t="s">
        <v>112</v>
      </c>
      <c r="C169" t="s">
        <v>17</v>
      </c>
      <c r="D169" t="s">
        <v>11</v>
      </c>
      <c r="E169" t="s">
        <v>12</v>
      </c>
      <c r="G169" t="s">
        <v>13</v>
      </c>
      <c r="H169" t="s">
        <v>14</v>
      </c>
      <c r="I169" t="s">
        <v>28</v>
      </c>
    </row>
    <row r="170" spans="1:9" hidden="1" x14ac:dyDescent="0.2">
      <c r="A170" s="100" t="str">
        <f>HYPERLINK("https://gnats.juniper.net/web/default/1943082-3", "1943082-3")</f>
        <v>1943082-3</v>
      </c>
      <c r="B170" t="s">
        <v>112</v>
      </c>
      <c r="C170" t="s">
        <v>42</v>
      </c>
      <c r="D170" t="s">
        <v>11</v>
      </c>
      <c r="E170" t="s">
        <v>12</v>
      </c>
      <c r="G170" t="s">
        <v>42</v>
      </c>
      <c r="H170" t="s">
        <v>14</v>
      </c>
      <c r="I170" t="s">
        <v>28</v>
      </c>
    </row>
    <row r="171" spans="1:9" hidden="1" x14ac:dyDescent="0.2">
      <c r="A171" s="100" t="str">
        <f>HYPERLINK("https://gnats.juniper.net/web/default/1943082-4", "1943082-4")</f>
        <v>1943082-4</v>
      </c>
      <c r="B171" t="s">
        <v>112</v>
      </c>
      <c r="C171" t="s">
        <v>42</v>
      </c>
      <c r="D171" t="s">
        <v>11</v>
      </c>
      <c r="E171" t="s">
        <v>12</v>
      </c>
      <c r="G171" t="s">
        <v>32</v>
      </c>
      <c r="H171" t="s">
        <v>14</v>
      </c>
      <c r="I171" t="s">
        <v>28</v>
      </c>
    </row>
    <row r="172" spans="1:9" hidden="1" x14ac:dyDescent="0.2">
      <c r="A172" s="100" t="str">
        <f>HYPERLINK("https://gnats.juniper.net/web/default/1943084-1", "1943084-1")</f>
        <v>1943084-1</v>
      </c>
      <c r="B172" t="s">
        <v>113</v>
      </c>
      <c r="C172" t="s">
        <v>13</v>
      </c>
      <c r="D172" t="s">
        <v>11</v>
      </c>
      <c r="E172" t="s">
        <v>12</v>
      </c>
      <c r="G172" t="s">
        <v>13</v>
      </c>
      <c r="H172" t="s">
        <v>14</v>
      </c>
      <c r="I172" t="s">
        <v>114</v>
      </c>
    </row>
    <row r="173" spans="1:9" hidden="1" x14ac:dyDescent="0.2">
      <c r="A173" s="100" t="str">
        <f>HYPERLINK("https://gnats.juniper.net/web/default/1943084-2", "1943084-2")</f>
        <v>1943084-2</v>
      </c>
      <c r="B173" t="s">
        <v>113</v>
      </c>
      <c r="C173" t="s">
        <v>13</v>
      </c>
      <c r="D173" t="s">
        <v>11</v>
      </c>
      <c r="E173" t="s">
        <v>12</v>
      </c>
      <c r="G173" t="s">
        <v>17</v>
      </c>
      <c r="H173" t="s">
        <v>14</v>
      </c>
      <c r="I173" t="s">
        <v>114</v>
      </c>
    </row>
    <row r="174" spans="1:9" hidden="1" x14ac:dyDescent="0.2">
      <c r="A174" s="100" t="str">
        <f>HYPERLINK("https://gnats.juniper.net/web/default/1943084-3", "1943084-3")</f>
        <v>1943084-3</v>
      </c>
      <c r="B174" t="s">
        <v>113</v>
      </c>
      <c r="D174" t="s">
        <v>11</v>
      </c>
      <c r="E174" t="s">
        <v>12</v>
      </c>
      <c r="G174" t="s">
        <v>16</v>
      </c>
      <c r="H174" t="s">
        <v>14</v>
      </c>
      <c r="I174" t="s">
        <v>40</v>
      </c>
    </row>
    <row r="175" spans="1:9" hidden="1" x14ac:dyDescent="0.2">
      <c r="A175" s="100" t="str">
        <f>HYPERLINK("https://gnats.juniper.net/web/default/1943084-4", "1943084-4")</f>
        <v>1943084-4</v>
      </c>
      <c r="B175" t="s">
        <v>113</v>
      </c>
      <c r="C175" t="s">
        <v>10</v>
      </c>
      <c r="D175" t="s">
        <v>11</v>
      </c>
      <c r="E175" t="s">
        <v>12</v>
      </c>
      <c r="G175" t="s">
        <v>76</v>
      </c>
      <c r="H175" t="s">
        <v>81</v>
      </c>
      <c r="I175" t="s">
        <v>18</v>
      </c>
    </row>
    <row r="176" spans="1:9" hidden="1" x14ac:dyDescent="0.2">
      <c r="A176" s="100" t="str">
        <f>HYPERLINK("https://gnats.juniper.net/web/default/1943461-1", "1943461-1")</f>
        <v>1943461-1</v>
      </c>
      <c r="B176" t="s">
        <v>115</v>
      </c>
      <c r="C176" t="s">
        <v>17</v>
      </c>
      <c r="D176" t="s">
        <v>11</v>
      </c>
      <c r="E176" t="s">
        <v>12</v>
      </c>
      <c r="G176" t="s">
        <v>17</v>
      </c>
      <c r="H176" t="s">
        <v>14</v>
      </c>
      <c r="I176" t="s">
        <v>53</v>
      </c>
    </row>
    <row r="177" spans="1:9" hidden="1" x14ac:dyDescent="0.2">
      <c r="A177" s="100" t="str">
        <f>HYPERLINK("https://gnats.juniper.net/web/default/1943461-2", "1943461-2")</f>
        <v>1943461-2</v>
      </c>
      <c r="B177" t="s">
        <v>115</v>
      </c>
      <c r="C177" t="s">
        <v>17</v>
      </c>
      <c r="D177" t="s">
        <v>11</v>
      </c>
      <c r="E177" t="s">
        <v>12</v>
      </c>
      <c r="G177" t="s">
        <v>13</v>
      </c>
      <c r="H177" t="s">
        <v>14</v>
      </c>
      <c r="I177" t="s">
        <v>53</v>
      </c>
    </row>
    <row r="178" spans="1:9" hidden="1" x14ac:dyDescent="0.2">
      <c r="A178" s="100" t="str">
        <f>HYPERLINK("https://gnats.juniper.net/web/default/1943467-1", "1943467-1")</f>
        <v>1943467-1</v>
      </c>
      <c r="B178" t="s">
        <v>116</v>
      </c>
      <c r="C178" t="s">
        <v>17</v>
      </c>
      <c r="D178" t="s">
        <v>11</v>
      </c>
      <c r="E178" t="s">
        <v>12</v>
      </c>
      <c r="G178" t="s">
        <v>17</v>
      </c>
      <c r="H178" t="s">
        <v>14</v>
      </c>
      <c r="I178" t="s">
        <v>21</v>
      </c>
    </row>
    <row r="179" spans="1:9" hidden="1" x14ac:dyDescent="0.2">
      <c r="A179" s="100" t="str">
        <f>HYPERLINK("https://gnats.juniper.net/web/default/1943467-2", "1943467-2")</f>
        <v>1943467-2</v>
      </c>
      <c r="B179" t="s">
        <v>116</v>
      </c>
      <c r="C179" t="s">
        <v>17</v>
      </c>
      <c r="D179" t="s">
        <v>11</v>
      </c>
      <c r="E179" t="s">
        <v>12</v>
      </c>
      <c r="G179" t="s">
        <v>13</v>
      </c>
      <c r="H179" t="s">
        <v>14</v>
      </c>
      <c r="I179" t="s">
        <v>21</v>
      </c>
    </row>
    <row r="180" spans="1:9" hidden="1" x14ac:dyDescent="0.2">
      <c r="A180" s="100" t="str">
        <f>HYPERLINK("https://gnats.juniper.net/web/default/1943467-3", "1943467-3")</f>
        <v>1943467-3</v>
      </c>
      <c r="B180" t="s">
        <v>116</v>
      </c>
      <c r="C180" t="s">
        <v>17</v>
      </c>
      <c r="D180" t="s">
        <v>11</v>
      </c>
      <c r="E180" t="s">
        <v>12</v>
      </c>
      <c r="G180" t="s">
        <v>38</v>
      </c>
      <c r="H180" t="s">
        <v>14</v>
      </c>
      <c r="I180" t="s">
        <v>21</v>
      </c>
    </row>
    <row r="181" spans="1:9" hidden="1" x14ac:dyDescent="0.2">
      <c r="A181" s="100" t="str">
        <f>HYPERLINK("https://gnats.juniper.net/web/default/1943467-4", "1943467-4")</f>
        <v>1943467-4</v>
      </c>
      <c r="B181" t="s">
        <v>116</v>
      </c>
      <c r="C181" t="s">
        <v>42</v>
      </c>
      <c r="D181" t="s">
        <v>11</v>
      </c>
      <c r="E181" t="s">
        <v>12</v>
      </c>
      <c r="G181" t="s">
        <v>42</v>
      </c>
      <c r="H181" t="s">
        <v>14</v>
      </c>
      <c r="I181" t="s">
        <v>21</v>
      </c>
    </row>
    <row r="182" spans="1:9" hidden="1" x14ac:dyDescent="0.2">
      <c r="A182" s="100" t="str">
        <f>HYPERLINK("https://gnats.juniper.net/web/default/1943467-5", "1943467-5")</f>
        <v>1943467-5</v>
      </c>
      <c r="B182" t="s">
        <v>116</v>
      </c>
      <c r="C182" t="s">
        <v>32</v>
      </c>
      <c r="D182" t="s">
        <v>11</v>
      </c>
      <c r="E182" t="s">
        <v>12</v>
      </c>
      <c r="F182" t="s">
        <v>22</v>
      </c>
      <c r="G182" t="s">
        <v>32</v>
      </c>
      <c r="H182" t="s">
        <v>14</v>
      </c>
      <c r="I182" t="s">
        <v>21</v>
      </c>
    </row>
    <row r="183" spans="1:9" hidden="1" x14ac:dyDescent="0.2">
      <c r="A183" s="100" t="str">
        <f>HYPERLINK("https://gnats.juniper.net/web/default/1943607-1", "1943607-1")</f>
        <v>1943607-1</v>
      </c>
      <c r="B183" t="s">
        <v>117</v>
      </c>
      <c r="C183" t="s">
        <v>17</v>
      </c>
      <c r="D183" t="s">
        <v>118</v>
      </c>
      <c r="E183" t="s">
        <v>12</v>
      </c>
      <c r="F183" t="s">
        <v>22</v>
      </c>
      <c r="G183" t="s">
        <v>17</v>
      </c>
      <c r="H183" t="s">
        <v>14</v>
      </c>
      <c r="I183" t="s">
        <v>28</v>
      </c>
    </row>
    <row r="184" spans="1:9" hidden="1" x14ac:dyDescent="0.2">
      <c r="A184" s="100" t="str">
        <f>HYPERLINK("https://gnats.juniper.net/web/default/1943607-2", "1943607-2")</f>
        <v>1943607-2</v>
      </c>
      <c r="B184" t="s">
        <v>117</v>
      </c>
      <c r="C184" t="s">
        <v>17</v>
      </c>
      <c r="D184" t="s">
        <v>118</v>
      </c>
      <c r="E184" t="s">
        <v>12</v>
      </c>
      <c r="F184" t="s">
        <v>22</v>
      </c>
      <c r="G184" t="s">
        <v>13</v>
      </c>
      <c r="H184" t="s">
        <v>14</v>
      </c>
      <c r="I184" t="s">
        <v>28</v>
      </c>
    </row>
    <row r="185" spans="1:9" hidden="1" x14ac:dyDescent="0.2">
      <c r="A185" s="100" t="str">
        <f>HYPERLINK("https://gnats.juniper.net/web/default/1943607-3", "1943607-3")</f>
        <v>1943607-3</v>
      </c>
      <c r="B185" t="s">
        <v>117</v>
      </c>
      <c r="D185" t="s">
        <v>118</v>
      </c>
      <c r="E185" t="s">
        <v>12</v>
      </c>
      <c r="G185" t="s">
        <v>38</v>
      </c>
      <c r="H185" t="s">
        <v>14</v>
      </c>
      <c r="I185" t="s">
        <v>28</v>
      </c>
    </row>
    <row r="186" spans="1:9" x14ac:dyDescent="0.2">
      <c r="A186" s="100" t="str">
        <f>HYPERLINK("https://gnats.juniper.net/web/default/1946082-1", "1946082-1")</f>
        <v>1946082-1</v>
      </c>
      <c r="B186" t="s">
        <v>119</v>
      </c>
      <c r="C186" t="s">
        <v>17</v>
      </c>
      <c r="D186" t="s">
        <v>120</v>
      </c>
      <c r="E186" t="s">
        <v>12</v>
      </c>
      <c r="G186" t="s">
        <v>17</v>
      </c>
      <c r="H186" t="s">
        <v>106</v>
      </c>
      <c r="I186" t="s">
        <v>64</v>
      </c>
    </row>
    <row r="187" spans="1:9" hidden="1" x14ac:dyDescent="0.2">
      <c r="A187" s="100" t="str">
        <f>HYPERLINK("https://gnats.juniper.net/web/default/1946082-2", "1946082-2")</f>
        <v>1946082-2</v>
      </c>
      <c r="B187" t="s">
        <v>119</v>
      </c>
      <c r="C187" t="s">
        <v>17</v>
      </c>
      <c r="D187" t="s">
        <v>120</v>
      </c>
      <c r="E187" t="s">
        <v>12</v>
      </c>
      <c r="G187" t="s">
        <v>13</v>
      </c>
      <c r="H187" t="s">
        <v>14</v>
      </c>
      <c r="I187" t="s">
        <v>64</v>
      </c>
    </row>
    <row r="188" spans="1:9" hidden="1" x14ac:dyDescent="0.2">
      <c r="A188" s="100" t="str">
        <f>HYPERLINK("https://gnats.juniper.net/web/default/1946085-1", "1946085-1")</f>
        <v>1946085-1</v>
      </c>
      <c r="B188" t="s">
        <v>121</v>
      </c>
      <c r="C188" t="s">
        <v>32</v>
      </c>
      <c r="D188" t="s">
        <v>122</v>
      </c>
      <c r="E188" t="s">
        <v>12</v>
      </c>
      <c r="F188" t="s">
        <v>22</v>
      </c>
      <c r="G188" t="s">
        <v>32</v>
      </c>
      <c r="H188" t="s">
        <v>81</v>
      </c>
      <c r="I188" t="s">
        <v>18</v>
      </c>
    </row>
    <row r="189" spans="1:9" hidden="1" x14ac:dyDescent="0.2">
      <c r="A189" s="100" t="str">
        <f>HYPERLINK("https://gnats.juniper.net/web/default/1946085-2", "1946085-2")</f>
        <v>1946085-2</v>
      </c>
      <c r="B189" t="s">
        <v>121</v>
      </c>
      <c r="C189" t="s">
        <v>13</v>
      </c>
      <c r="D189" t="s">
        <v>122</v>
      </c>
      <c r="E189" t="s">
        <v>12</v>
      </c>
      <c r="G189" t="s">
        <v>13</v>
      </c>
      <c r="H189" t="s">
        <v>14</v>
      </c>
      <c r="I189" t="s">
        <v>69</v>
      </c>
    </row>
    <row r="190" spans="1:9" hidden="1" x14ac:dyDescent="0.2">
      <c r="A190" s="100" t="str">
        <f>HYPERLINK("https://gnats.juniper.net/web/default/1946085-3", "1946085-3")</f>
        <v>1946085-3</v>
      </c>
      <c r="B190" t="s">
        <v>121</v>
      </c>
      <c r="C190" t="s">
        <v>32</v>
      </c>
      <c r="D190" t="s">
        <v>122</v>
      </c>
      <c r="E190" t="s">
        <v>12</v>
      </c>
      <c r="G190" t="s">
        <v>42</v>
      </c>
      <c r="H190" t="s">
        <v>81</v>
      </c>
      <c r="I190" t="s">
        <v>18</v>
      </c>
    </row>
    <row r="191" spans="1:9" hidden="1" x14ac:dyDescent="0.2">
      <c r="A191" s="100" t="str">
        <f>HYPERLINK("https://gnats.juniper.net/web/default/1947270-1", "1947270-1")</f>
        <v>1947270-1</v>
      </c>
      <c r="B191" t="s">
        <v>123</v>
      </c>
      <c r="C191" t="s">
        <v>17</v>
      </c>
      <c r="D191" t="s">
        <v>11</v>
      </c>
      <c r="E191" t="s">
        <v>12</v>
      </c>
      <c r="G191" t="s">
        <v>17</v>
      </c>
      <c r="H191" t="s">
        <v>14</v>
      </c>
      <c r="I191" t="s">
        <v>21</v>
      </c>
    </row>
    <row r="192" spans="1:9" hidden="1" x14ac:dyDescent="0.2">
      <c r="A192" s="100" t="str">
        <f>HYPERLINK("https://gnats.juniper.net/web/default/1947270-2", "1947270-2")</f>
        <v>1947270-2</v>
      </c>
      <c r="B192" t="s">
        <v>123</v>
      </c>
      <c r="C192" t="s">
        <v>17</v>
      </c>
      <c r="D192" t="s">
        <v>11</v>
      </c>
      <c r="E192" t="s">
        <v>12</v>
      </c>
      <c r="G192" t="s">
        <v>13</v>
      </c>
      <c r="H192" t="s">
        <v>14</v>
      </c>
      <c r="I192" t="s">
        <v>21</v>
      </c>
    </row>
    <row r="193" spans="1:9" hidden="1" x14ac:dyDescent="0.2">
      <c r="A193" s="100" t="str">
        <f>HYPERLINK("https://gnats.juniper.net/web/default/1947337-1", "1947337-1")</f>
        <v>1947337-1</v>
      </c>
      <c r="B193" t="s">
        <v>124</v>
      </c>
      <c r="C193" t="s">
        <v>17</v>
      </c>
      <c r="D193" t="s">
        <v>11</v>
      </c>
      <c r="E193" t="s">
        <v>12</v>
      </c>
      <c r="G193" t="s">
        <v>17</v>
      </c>
      <c r="H193" t="s">
        <v>14</v>
      </c>
      <c r="I193" t="s">
        <v>125</v>
      </c>
    </row>
    <row r="194" spans="1:9" hidden="1" x14ac:dyDescent="0.2">
      <c r="A194" s="100" t="str">
        <f>HYPERLINK("https://gnats.juniper.net/web/default/1947337-2", "1947337-2")</f>
        <v>1947337-2</v>
      </c>
      <c r="B194" t="s">
        <v>124</v>
      </c>
      <c r="C194" t="s">
        <v>17</v>
      </c>
      <c r="D194" t="s">
        <v>11</v>
      </c>
      <c r="E194" t="s">
        <v>12</v>
      </c>
      <c r="G194" t="s">
        <v>13</v>
      </c>
      <c r="H194" t="s">
        <v>14</v>
      </c>
      <c r="I194" t="s">
        <v>125</v>
      </c>
    </row>
    <row r="195" spans="1:9" hidden="1" x14ac:dyDescent="0.2">
      <c r="A195" s="100" t="str">
        <f>HYPERLINK("https://gnats.juniper.net/web/default/1947954-1", "1947954-1")</f>
        <v>1947954-1</v>
      </c>
      <c r="B195" t="s">
        <v>126</v>
      </c>
      <c r="C195" t="s">
        <v>17</v>
      </c>
      <c r="D195" t="s">
        <v>11</v>
      </c>
      <c r="E195" t="s">
        <v>12</v>
      </c>
      <c r="G195" t="s">
        <v>17</v>
      </c>
      <c r="H195" t="s">
        <v>14</v>
      </c>
      <c r="I195" t="s">
        <v>127</v>
      </c>
    </row>
    <row r="196" spans="1:9" hidden="1" x14ac:dyDescent="0.2">
      <c r="A196" s="100" t="str">
        <f>HYPERLINK("https://gnats.juniper.net/web/default/1947954-2", "1947954-2")</f>
        <v>1947954-2</v>
      </c>
      <c r="B196" t="s">
        <v>126</v>
      </c>
      <c r="C196" t="s">
        <v>17</v>
      </c>
      <c r="D196" t="s">
        <v>11</v>
      </c>
      <c r="E196" t="s">
        <v>12</v>
      </c>
      <c r="G196" t="s">
        <v>13</v>
      </c>
      <c r="H196" t="s">
        <v>14</v>
      </c>
      <c r="I196" t="s">
        <v>127</v>
      </c>
    </row>
    <row r="197" spans="1:9" hidden="1" x14ac:dyDescent="0.2">
      <c r="A197" s="100" t="str">
        <f>HYPERLINK("https://gnats.juniper.net/web/default/1947969-1", "1947969-1")</f>
        <v>1947969-1</v>
      </c>
      <c r="B197" t="s">
        <v>128</v>
      </c>
      <c r="C197" t="s">
        <v>17</v>
      </c>
      <c r="D197" t="s">
        <v>11</v>
      </c>
      <c r="E197" t="s">
        <v>12</v>
      </c>
      <c r="G197" t="s">
        <v>17</v>
      </c>
      <c r="H197" t="s">
        <v>14</v>
      </c>
      <c r="I197" t="s">
        <v>129</v>
      </c>
    </row>
    <row r="198" spans="1:9" hidden="1" x14ac:dyDescent="0.2">
      <c r="A198" s="100" t="str">
        <f>HYPERLINK("https://gnats.juniper.net/web/default/1947969-2", "1947969-2")</f>
        <v>1947969-2</v>
      </c>
      <c r="B198" t="s">
        <v>128</v>
      </c>
      <c r="C198" t="s">
        <v>17</v>
      </c>
      <c r="D198" t="s">
        <v>11</v>
      </c>
      <c r="E198" t="s">
        <v>12</v>
      </c>
      <c r="G198" t="s">
        <v>13</v>
      </c>
      <c r="H198" t="s">
        <v>14</v>
      </c>
      <c r="I198" t="s">
        <v>129</v>
      </c>
    </row>
    <row r="199" spans="1:9" x14ac:dyDescent="0.2">
      <c r="A199" s="100" t="str">
        <f>HYPERLINK("https://gnats.juniper.net/web/default/1954277-1", "1954277-1")</f>
        <v>1954277-1</v>
      </c>
      <c r="B199" t="s">
        <v>130</v>
      </c>
      <c r="C199" t="s">
        <v>17</v>
      </c>
      <c r="D199" t="s">
        <v>11</v>
      </c>
      <c r="E199" t="s">
        <v>12</v>
      </c>
      <c r="G199" t="s">
        <v>17</v>
      </c>
      <c r="H199" t="s">
        <v>106</v>
      </c>
      <c r="I199" t="s">
        <v>51</v>
      </c>
    </row>
    <row r="200" spans="1:9" hidden="1" x14ac:dyDescent="0.2">
      <c r="A200" s="100" t="str">
        <f>HYPERLINK("https://gnats.juniper.net/web/default/1954277-2", "1954277-2")</f>
        <v>1954277-2</v>
      </c>
      <c r="B200" t="s">
        <v>130</v>
      </c>
      <c r="C200" t="s">
        <v>17</v>
      </c>
      <c r="D200" t="s">
        <v>11</v>
      </c>
      <c r="E200" t="s">
        <v>12</v>
      </c>
      <c r="G200" t="s">
        <v>13</v>
      </c>
      <c r="H200" t="s">
        <v>81</v>
      </c>
      <c r="I200" t="s">
        <v>18</v>
      </c>
    </row>
    <row r="201" spans="1:9" hidden="1" x14ac:dyDescent="0.2">
      <c r="A201" s="100" t="str">
        <f>HYPERLINK("https://gnats.juniper.net/web/default/1954277-3", "1954277-3")</f>
        <v>1954277-3</v>
      </c>
      <c r="B201" t="s">
        <v>130</v>
      </c>
      <c r="C201" t="s">
        <v>17</v>
      </c>
      <c r="D201" t="s">
        <v>11</v>
      </c>
      <c r="E201" t="s">
        <v>12</v>
      </c>
      <c r="G201" t="s">
        <v>76</v>
      </c>
      <c r="H201" t="s">
        <v>81</v>
      </c>
      <c r="I201" t="s">
        <v>18</v>
      </c>
    </row>
    <row r="202" spans="1:9" hidden="1" x14ac:dyDescent="0.2">
      <c r="A202" s="100" t="str">
        <f>HYPERLINK("https://gnats.juniper.net/web/default/1954277-4", "1954277-4")</f>
        <v>1954277-4</v>
      </c>
      <c r="B202" t="s">
        <v>130</v>
      </c>
      <c r="C202" t="s">
        <v>17</v>
      </c>
      <c r="D202" t="s">
        <v>11</v>
      </c>
      <c r="E202" t="s">
        <v>12</v>
      </c>
      <c r="G202" t="s">
        <v>131</v>
      </c>
      <c r="H202" t="s">
        <v>81</v>
      </c>
      <c r="I202" t="s">
        <v>18</v>
      </c>
    </row>
    <row r="203" spans="1:9" hidden="1" x14ac:dyDescent="0.2">
      <c r="A203" s="100" t="str">
        <f>HYPERLINK("https://gnats.juniper.net/web/default/1954326-1", "1954326-1")</f>
        <v>1954326-1</v>
      </c>
      <c r="B203" t="s">
        <v>132</v>
      </c>
      <c r="C203" t="s">
        <v>17</v>
      </c>
      <c r="D203" t="s">
        <v>120</v>
      </c>
      <c r="E203" t="s">
        <v>12</v>
      </c>
      <c r="G203" t="s">
        <v>17</v>
      </c>
      <c r="H203" t="s">
        <v>14</v>
      </c>
      <c r="I203" t="s">
        <v>64</v>
      </c>
    </row>
    <row r="204" spans="1:9" hidden="1" x14ac:dyDescent="0.2">
      <c r="A204" s="100" t="str">
        <f>HYPERLINK("https://gnats.juniper.net/web/default/1954326-2", "1954326-2")</f>
        <v>1954326-2</v>
      </c>
      <c r="B204" t="s">
        <v>132</v>
      </c>
      <c r="C204" t="s">
        <v>17</v>
      </c>
      <c r="D204" t="s">
        <v>120</v>
      </c>
      <c r="E204" t="s">
        <v>12</v>
      </c>
      <c r="G204" t="s">
        <v>13</v>
      </c>
      <c r="H204" t="s">
        <v>14</v>
      </c>
      <c r="I204" t="s">
        <v>64</v>
      </c>
    </row>
    <row r="205" spans="1:9" hidden="1" x14ac:dyDescent="0.2">
      <c r="A205" s="100" t="str">
        <f>HYPERLINK("https://gnats.juniper.net/web/default/1954326-3", "1954326-3")</f>
        <v>1954326-3</v>
      </c>
      <c r="B205" t="s">
        <v>132</v>
      </c>
      <c r="C205" t="s">
        <v>17</v>
      </c>
      <c r="D205" t="s">
        <v>120</v>
      </c>
      <c r="E205" t="s">
        <v>12</v>
      </c>
      <c r="G205" t="s">
        <v>38</v>
      </c>
      <c r="H205" t="s">
        <v>14</v>
      </c>
      <c r="I205" t="s">
        <v>64</v>
      </c>
    </row>
    <row r="206" spans="1:9" hidden="1" x14ac:dyDescent="0.2">
      <c r="A206" s="100" t="str">
        <f>HYPERLINK("https://gnats.juniper.net/web/default/1954327-1", "1954327-1")</f>
        <v>1954327-1</v>
      </c>
      <c r="B206" t="s">
        <v>133</v>
      </c>
      <c r="C206" t="s">
        <v>17</v>
      </c>
      <c r="D206" t="s">
        <v>120</v>
      </c>
      <c r="E206" t="s">
        <v>12</v>
      </c>
      <c r="F206" t="s">
        <v>30</v>
      </c>
      <c r="G206" t="s">
        <v>17</v>
      </c>
      <c r="H206" t="s">
        <v>14</v>
      </c>
      <c r="I206" t="s">
        <v>64</v>
      </c>
    </row>
    <row r="207" spans="1:9" hidden="1" x14ac:dyDescent="0.2">
      <c r="A207" s="100" t="str">
        <f>HYPERLINK("https://gnats.juniper.net/web/default/1954327-2", "1954327-2")</f>
        <v>1954327-2</v>
      </c>
      <c r="B207" t="s">
        <v>133</v>
      </c>
      <c r="C207" t="s">
        <v>17</v>
      </c>
      <c r="D207" t="s">
        <v>120</v>
      </c>
      <c r="E207" t="s">
        <v>12</v>
      </c>
      <c r="G207" t="s">
        <v>13</v>
      </c>
      <c r="H207" t="s">
        <v>14</v>
      </c>
      <c r="I207" t="s">
        <v>64</v>
      </c>
    </row>
    <row r="208" spans="1:9" hidden="1" x14ac:dyDescent="0.2">
      <c r="A208" s="100" t="str">
        <f>HYPERLINK("https://gnats.juniper.net/web/default/1954327-3", "1954327-3")</f>
        <v>1954327-3</v>
      </c>
      <c r="B208" t="s">
        <v>133</v>
      </c>
      <c r="C208" t="s">
        <v>17</v>
      </c>
      <c r="D208" t="s">
        <v>120</v>
      </c>
      <c r="E208" t="s">
        <v>12</v>
      </c>
      <c r="G208" t="s">
        <v>38</v>
      </c>
      <c r="H208" t="s">
        <v>14</v>
      </c>
      <c r="I208" t="s">
        <v>64</v>
      </c>
    </row>
    <row r="209" spans="1:9" hidden="1" x14ac:dyDescent="0.2">
      <c r="A209" s="100" t="str">
        <f>HYPERLINK("https://gnats.juniper.net/web/default/1954675-1", "1954675-1")</f>
        <v>1954675-1</v>
      </c>
      <c r="B209" t="s">
        <v>134</v>
      </c>
      <c r="C209" t="s">
        <v>17</v>
      </c>
      <c r="D209" t="s">
        <v>11</v>
      </c>
      <c r="E209" t="s">
        <v>12</v>
      </c>
      <c r="G209" t="s">
        <v>17</v>
      </c>
      <c r="H209" t="s">
        <v>14</v>
      </c>
      <c r="I209" t="s">
        <v>79</v>
      </c>
    </row>
    <row r="210" spans="1:9" x14ac:dyDescent="0.2">
      <c r="A210" s="100" t="str">
        <f>HYPERLINK("https://gnats.juniper.net/web/default/1957107-1", "1957107-1")</f>
        <v>1957107-1</v>
      </c>
      <c r="B210" t="s">
        <v>135</v>
      </c>
      <c r="C210" t="s">
        <v>17</v>
      </c>
      <c r="D210" t="s">
        <v>11</v>
      </c>
      <c r="E210" t="s">
        <v>12</v>
      </c>
      <c r="G210" t="s">
        <v>17</v>
      </c>
      <c r="H210" t="s">
        <v>136</v>
      </c>
      <c r="I210" t="s">
        <v>137</v>
      </c>
    </row>
    <row r="211" spans="1:9" x14ac:dyDescent="0.2">
      <c r="A211" s="100" t="str">
        <f>HYPERLINK("https://gnats.juniper.net/web/default/1959073-1", "1959073-1")</f>
        <v>1959073-1</v>
      </c>
      <c r="B211" t="s">
        <v>138</v>
      </c>
      <c r="C211" t="s">
        <v>17</v>
      </c>
      <c r="D211" t="s">
        <v>47</v>
      </c>
      <c r="E211" t="s">
        <v>12</v>
      </c>
      <c r="G211" t="s">
        <v>17</v>
      </c>
      <c r="H211" t="s">
        <v>139</v>
      </c>
      <c r="I211" t="s">
        <v>18</v>
      </c>
    </row>
    <row r="212" spans="1:9" x14ac:dyDescent="0.2">
      <c r="A212" s="100" t="str">
        <f>HYPERLINK("https://gnats.juniper.net/web/default/1959073-2", "1959073-2")</f>
        <v>1959073-2</v>
      </c>
      <c r="B212" t="s">
        <v>138</v>
      </c>
      <c r="C212" t="s">
        <v>17</v>
      </c>
      <c r="D212" t="s">
        <v>47</v>
      </c>
      <c r="E212" t="s">
        <v>12</v>
      </c>
      <c r="G212" t="s">
        <v>131</v>
      </c>
      <c r="H212" t="s">
        <v>139</v>
      </c>
      <c r="I212" t="s">
        <v>18</v>
      </c>
    </row>
    <row r="213" spans="1:9" hidden="1" x14ac:dyDescent="0.2">
      <c r="A213" s="100" t="str">
        <f>HYPERLINK("https://gnats.juniper.net/web/default/1959073-3", "1959073-3")</f>
        <v>1959073-3</v>
      </c>
      <c r="B213" t="s">
        <v>138</v>
      </c>
      <c r="C213" t="s">
        <v>17</v>
      </c>
      <c r="D213" t="s">
        <v>47</v>
      </c>
      <c r="E213" t="s">
        <v>12</v>
      </c>
      <c r="G213" t="s">
        <v>76</v>
      </c>
      <c r="H213" t="s">
        <v>81</v>
      </c>
      <c r="I213" t="s">
        <v>18</v>
      </c>
    </row>
    <row r="214" spans="1:9" hidden="1" x14ac:dyDescent="0.2">
      <c r="A214" s="100" t="str">
        <f>HYPERLINK("https://gnats.juniper.net/web/default/1959073-4", "1959073-4")</f>
        <v>1959073-4</v>
      </c>
      <c r="B214" t="s">
        <v>138</v>
      </c>
      <c r="C214" t="s">
        <v>17</v>
      </c>
      <c r="D214" t="s">
        <v>47</v>
      </c>
      <c r="E214" t="s">
        <v>12</v>
      </c>
      <c r="G214" t="s">
        <v>13</v>
      </c>
      <c r="H214" t="s">
        <v>81</v>
      </c>
      <c r="I214" t="s">
        <v>18</v>
      </c>
    </row>
    <row r="215" spans="1:9" x14ac:dyDescent="0.2">
      <c r="A215" s="100" t="str">
        <f>HYPERLINK("https://gnats.juniper.net/web/default/1960761-1", "1960761-1")</f>
        <v>1960761-1</v>
      </c>
      <c r="B215" t="s">
        <v>140</v>
      </c>
      <c r="C215" t="s">
        <v>131</v>
      </c>
      <c r="D215" t="s">
        <v>11</v>
      </c>
      <c r="E215" t="s">
        <v>12</v>
      </c>
      <c r="G215" t="s">
        <v>131</v>
      </c>
      <c r="H215" t="s">
        <v>141</v>
      </c>
      <c r="I215" t="s">
        <v>18</v>
      </c>
    </row>
    <row r="216" spans="1:9" hidden="1" x14ac:dyDescent="0.2">
      <c r="A216" s="100" t="str">
        <f>HYPERLINK("https://gnats.juniper.net/web/default/1961325-1", "1961325-1")</f>
        <v>1961325-1</v>
      </c>
      <c r="B216" t="s">
        <v>142</v>
      </c>
      <c r="C216" t="s">
        <v>131</v>
      </c>
      <c r="D216" t="s">
        <v>11</v>
      </c>
      <c r="E216" t="s">
        <v>12</v>
      </c>
      <c r="F216" t="s">
        <v>22</v>
      </c>
      <c r="G216" t="s">
        <v>131</v>
      </c>
      <c r="H216" t="s">
        <v>14</v>
      </c>
      <c r="I216" t="s">
        <v>28</v>
      </c>
    </row>
    <row r="217" spans="1:9" hidden="1" x14ac:dyDescent="0.2">
      <c r="A217" s="100" t="str">
        <f>HYPERLINK("https://gnats.juniper.net/web/default/1961325-2", "1961325-2")</f>
        <v>1961325-2</v>
      </c>
      <c r="B217" t="s">
        <v>142</v>
      </c>
      <c r="C217" t="s">
        <v>17</v>
      </c>
      <c r="D217" t="s">
        <v>11</v>
      </c>
      <c r="E217" t="s">
        <v>12</v>
      </c>
      <c r="F217" t="s">
        <v>22</v>
      </c>
      <c r="G217" t="s">
        <v>17</v>
      </c>
      <c r="H217" t="s">
        <v>81</v>
      </c>
      <c r="I217" t="s">
        <v>18</v>
      </c>
    </row>
    <row r="218" spans="1:9" hidden="1" x14ac:dyDescent="0.2">
      <c r="A218" s="100" t="str">
        <f>HYPERLINK("https://gnats.juniper.net/web/default/1961325-3", "1961325-3")</f>
        <v>1961325-3</v>
      </c>
      <c r="B218" t="s">
        <v>142</v>
      </c>
      <c r="C218" t="s">
        <v>131</v>
      </c>
      <c r="D218" t="s">
        <v>11</v>
      </c>
      <c r="E218" t="s">
        <v>12</v>
      </c>
      <c r="G218" t="s">
        <v>38</v>
      </c>
      <c r="H218" t="s">
        <v>81</v>
      </c>
      <c r="I218" t="s">
        <v>18</v>
      </c>
    </row>
    <row r="219" spans="1:9" hidden="1" x14ac:dyDescent="0.2">
      <c r="A219" s="100" t="str">
        <f>HYPERLINK("https://gnats.juniper.net/web/default/1961325-4", "1961325-4")</f>
        <v>1961325-4</v>
      </c>
      <c r="B219" t="s">
        <v>142</v>
      </c>
      <c r="C219" t="s">
        <v>131</v>
      </c>
      <c r="D219" t="s">
        <v>11</v>
      </c>
      <c r="E219" t="s">
        <v>12</v>
      </c>
      <c r="G219" t="s">
        <v>76</v>
      </c>
      <c r="H219" t="s">
        <v>81</v>
      </c>
      <c r="I219" t="s">
        <v>18</v>
      </c>
    </row>
    <row r="220" spans="1:9" hidden="1" x14ac:dyDescent="0.2">
      <c r="A220" s="100" t="str">
        <f>HYPERLINK("https://gnats.juniper.net/web/default/1961327-1", "1961327-1")</f>
        <v>1961327-1</v>
      </c>
      <c r="B220" t="s">
        <v>143</v>
      </c>
      <c r="C220" t="s">
        <v>131</v>
      </c>
      <c r="D220" t="s">
        <v>11</v>
      </c>
      <c r="E220" t="s">
        <v>12</v>
      </c>
      <c r="G220" t="s">
        <v>131</v>
      </c>
      <c r="H220" t="s">
        <v>81</v>
      </c>
      <c r="I220" t="s">
        <v>18</v>
      </c>
    </row>
    <row r="221" spans="1:9" hidden="1" x14ac:dyDescent="0.2">
      <c r="A221" s="100" t="str">
        <f>HYPERLINK("https://gnats.juniper.net/web/default/1961327-2", "1961327-2")</f>
        <v>1961327-2</v>
      </c>
      <c r="B221" t="s">
        <v>143</v>
      </c>
      <c r="C221" t="s">
        <v>144</v>
      </c>
      <c r="D221" t="s">
        <v>11</v>
      </c>
      <c r="E221" t="s">
        <v>12</v>
      </c>
      <c r="F221" t="s">
        <v>22</v>
      </c>
      <c r="G221" t="s">
        <v>32</v>
      </c>
      <c r="H221" t="s">
        <v>81</v>
      </c>
      <c r="I221" t="s">
        <v>18</v>
      </c>
    </row>
    <row r="222" spans="1:9" hidden="1" x14ac:dyDescent="0.2">
      <c r="A222" s="100" t="str">
        <f>HYPERLINK("https://gnats.juniper.net/web/default/1961327-3", "1961327-3")</f>
        <v>1961327-3</v>
      </c>
      <c r="B222" t="s">
        <v>143</v>
      </c>
      <c r="C222" t="s">
        <v>145</v>
      </c>
      <c r="D222" t="s">
        <v>11</v>
      </c>
      <c r="E222" t="s">
        <v>12</v>
      </c>
      <c r="G222" t="s">
        <v>42</v>
      </c>
      <c r="H222" t="s">
        <v>81</v>
      </c>
      <c r="I222" t="s">
        <v>18</v>
      </c>
    </row>
    <row r="223" spans="1:9" hidden="1" x14ac:dyDescent="0.2">
      <c r="A223" s="100" t="str">
        <f>HYPERLINK("https://gnats.juniper.net/web/default/1961327-4", "1961327-4")</f>
        <v>1961327-4</v>
      </c>
      <c r="B223" t="s">
        <v>143</v>
      </c>
      <c r="C223" t="s">
        <v>17</v>
      </c>
      <c r="D223" t="s">
        <v>11</v>
      </c>
      <c r="E223" t="s">
        <v>12</v>
      </c>
      <c r="G223" t="s">
        <v>17</v>
      </c>
      <c r="H223" t="s">
        <v>81</v>
      </c>
      <c r="I223" t="s">
        <v>18</v>
      </c>
    </row>
    <row r="224" spans="1:9" hidden="1" x14ac:dyDescent="0.2">
      <c r="A224" s="100" t="str">
        <f>HYPERLINK("https://gnats.juniper.net/web/default/1961327-5", "1961327-5")</f>
        <v>1961327-5</v>
      </c>
      <c r="B224" t="s">
        <v>143</v>
      </c>
      <c r="C224" t="s">
        <v>38</v>
      </c>
      <c r="D224" t="s">
        <v>11</v>
      </c>
      <c r="E224" t="s">
        <v>12</v>
      </c>
      <c r="G224" t="s">
        <v>38</v>
      </c>
      <c r="H224" t="s">
        <v>81</v>
      </c>
      <c r="I224" t="s">
        <v>18</v>
      </c>
    </row>
  </sheetData>
  <autoFilter ref="A1:I224" xr:uid="{101F05EA-6A87-7646-9D66-36E81A856E36}">
    <filterColumn colId="7">
      <filters>
        <filter val="assigned"/>
        <filter val="awaiting-build"/>
        <filter val="monitored"/>
        <filter val="need-info"/>
        <filter val="open"/>
        <filter val="try-fix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97FCC-74C1-4D09-ACC0-E463BF5527EB}">
  <dimension ref="A1:I105"/>
  <sheetViews>
    <sheetView topLeftCell="A73" zoomScale="137" workbookViewId="0">
      <selection activeCell="A81" sqref="A81"/>
    </sheetView>
  </sheetViews>
  <sheetFormatPr baseColWidth="10" defaultColWidth="8.83203125" defaultRowHeight="15" customHeight="1" x14ac:dyDescent="0.2"/>
  <cols>
    <col min="1" max="1" width="87.83203125" customWidth="1"/>
    <col min="2" max="2" width="35.83203125" style="5" customWidth="1"/>
    <col min="3" max="3" width="19.5" style="5" customWidth="1"/>
    <col min="4" max="4" width="41.5" style="5" customWidth="1"/>
    <col min="5" max="5" width="26" customWidth="1"/>
  </cols>
  <sheetData>
    <row r="1" spans="1:5" ht="57" customHeight="1" x14ac:dyDescent="0.25">
      <c r="A1" s="50" t="s">
        <v>146</v>
      </c>
      <c r="B1" s="105" t="s">
        <v>147</v>
      </c>
      <c r="C1" s="106"/>
      <c r="D1" s="36" t="s">
        <v>148</v>
      </c>
      <c r="E1" s="17"/>
    </row>
    <row r="2" spans="1:5" ht="32.25" customHeight="1" x14ac:dyDescent="0.25">
      <c r="A2" s="38" t="s">
        <v>149</v>
      </c>
      <c r="B2" s="39" t="s">
        <v>150</v>
      </c>
      <c r="C2" s="40" t="s">
        <v>151</v>
      </c>
      <c r="D2" s="40" t="s">
        <v>152</v>
      </c>
      <c r="E2" s="11"/>
    </row>
    <row r="3" spans="1:5" ht="17.25" customHeight="1" x14ac:dyDescent="0.2">
      <c r="A3" s="2" t="s">
        <v>153</v>
      </c>
      <c r="B3" s="41" t="s">
        <v>154</v>
      </c>
      <c r="C3" s="15">
        <v>95</v>
      </c>
      <c r="D3" s="4">
        <v>70</v>
      </c>
      <c r="E3" s="11"/>
    </row>
    <row r="4" spans="1:5" ht="15.5" customHeight="1" x14ac:dyDescent="0.2">
      <c r="A4" s="2" t="s">
        <v>155</v>
      </c>
      <c r="B4" s="4" t="s">
        <v>156</v>
      </c>
      <c r="C4" s="15">
        <v>80</v>
      </c>
      <c r="D4" s="4">
        <v>70</v>
      </c>
      <c r="E4" t="s">
        <v>157</v>
      </c>
    </row>
    <row r="5" spans="1:5" ht="15.5" customHeight="1" x14ac:dyDescent="0.2">
      <c r="A5" s="2" t="s">
        <v>158</v>
      </c>
      <c r="B5" s="4" t="s">
        <v>159</v>
      </c>
      <c r="C5" s="4">
        <v>92</v>
      </c>
      <c r="D5" s="4">
        <v>73</v>
      </c>
      <c r="E5" s="21"/>
    </row>
    <row r="6" spans="1:5" ht="18" customHeight="1" x14ac:dyDescent="0.2">
      <c r="A6" s="2" t="s">
        <v>160</v>
      </c>
      <c r="B6" s="4" t="s">
        <v>161</v>
      </c>
      <c r="C6" s="1">
        <v>95</v>
      </c>
      <c r="D6" s="58">
        <v>69</v>
      </c>
      <c r="E6" s="21"/>
    </row>
    <row r="7" spans="1:5" ht="14.5" customHeight="1" x14ac:dyDescent="0.2">
      <c r="A7" s="2" t="s">
        <v>162</v>
      </c>
      <c r="B7" s="4" t="s">
        <v>163</v>
      </c>
      <c r="C7" s="4">
        <v>95</v>
      </c>
      <c r="D7" s="57">
        <v>70</v>
      </c>
    </row>
    <row r="8" spans="1:5" ht="14" customHeight="1" x14ac:dyDescent="0.2">
      <c r="A8" s="2" t="s">
        <v>164</v>
      </c>
      <c r="B8" s="4" t="s">
        <v>165</v>
      </c>
      <c r="C8" s="4">
        <v>91</v>
      </c>
      <c r="D8" s="4">
        <v>72</v>
      </c>
    </row>
    <row r="9" spans="1:5" ht="16" x14ac:dyDescent="0.2">
      <c r="A9" s="2" t="s">
        <v>166</v>
      </c>
      <c r="B9" s="4" t="s">
        <v>167</v>
      </c>
      <c r="C9" s="4">
        <v>96</v>
      </c>
      <c r="D9" s="57">
        <v>73</v>
      </c>
    </row>
    <row r="10" spans="1:5" ht="16" x14ac:dyDescent="0.2">
      <c r="A10" s="2" t="s">
        <v>168</v>
      </c>
      <c r="B10" s="4" t="s">
        <v>169</v>
      </c>
      <c r="C10" s="4">
        <v>93</v>
      </c>
      <c r="D10" s="4">
        <v>74</v>
      </c>
    </row>
    <row r="11" spans="1:5" ht="16" x14ac:dyDescent="0.2">
      <c r="A11" s="2" t="s">
        <v>170</v>
      </c>
      <c r="B11" s="4" t="s">
        <v>171</v>
      </c>
      <c r="C11" s="4">
        <v>93</v>
      </c>
      <c r="D11" s="4">
        <v>74</v>
      </c>
    </row>
    <row r="12" spans="1:5" ht="16" x14ac:dyDescent="0.2">
      <c r="A12" s="2" t="s">
        <v>172</v>
      </c>
      <c r="B12" s="1" t="s">
        <v>173</v>
      </c>
      <c r="C12" s="1">
        <v>93</v>
      </c>
      <c r="D12" s="57">
        <v>45</v>
      </c>
    </row>
    <row r="13" spans="1:5" ht="16" x14ac:dyDescent="0.2">
      <c r="A13" s="2" t="s">
        <v>174</v>
      </c>
      <c r="B13" s="4" t="s">
        <v>175</v>
      </c>
      <c r="C13" s="1">
        <v>94</v>
      </c>
      <c r="D13" s="4">
        <v>76</v>
      </c>
    </row>
    <row r="14" spans="1:5" ht="16" x14ac:dyDescent="0.2">
      <c r="A14" s="2" t="s">
        <v>176</v>
      </c>
      <c r="B14" s="4" t="s">
        <v>177</v>
      </c>
      <c r="C14" s="4">
        <v>95</v>
      </c>
      <c r="D14" s="4">
        <v>76</v>
      </c>
    </row>
    <row r="15" spans="1:5" ht="16" x14ac:dyDescent="0.2">
      <c r="A15" s="2" t="s">
        <v>178</v>
      </c>
      <c r="B15" s="4" t="s">
        <v>179</v>
      </c>
      <c r="C15" s="1">
        <v>95</v>
      </c>
      <c r="D15" s="4">
        <v>76</v>
      </c>
    </row>
    <row r="16" spans="1:5" ht="16" x14ac:dyDescent="0.2">
      <c r="A16" s="3" t="s">
        <v>180</v>
      </c>
      <c r="B16" s="4" t="s">
        <v>181</v>
      </c>
      <c r="C16" s="46">
        <v>94</v>
      </c>
      <c r="D16" s="4">
        <v>73</v>
      </c>
    </row>
    <row r="17" spans="1:5" ht="16" x14ac:dyDescent="0.2">
      <c r="A17" s="43" t="s">
        <v>182</v>
      </c>
      <c r="B17" s="7" t="s">
        <v>183</v>
      </c>
      <c r="C17" s="7">
        <v>96</v>
      </c>
      <c r="D17" s="7">
        <v>76</v>
      </c>
    </row>
    <row r="18" spans="1:5" ht="40.5" customHeight="1" x14ac:dyDescent="0.25">
      <c r="A18" s="38" t="s">
        <v>184</v>
      </c>
      <c r="B18" s="39" t="s">
        <v>150</v>
      </c>
      <c r="C18" s="40" t="s">
        <v>151</v>
      </c>
      <c r="D18" s="40" t="s">
        <v>152</v>
      </c>
    </row>
    <row r="19" spans="1:5" ht="16" x14ac:dyDescent="0.2">
      <c r="A19" s="22" t="s">
        <v>185</v>
      </c>
      <c r="B19" s="44" t="s">
        <v>186</v>
      </c>
      <c r="C19" s="27">
        <v>85</v>
      </c>
      <c r="D19" s="54">
        <v>41</v>
      </c>
    </row>
    <row r="20" spans="1:5" ht="16" x14ac:dyDescent="0.2">
      <c r="A20" s="2" t="s">
        <v>187</v>
      </c>
      <c r="B20" s="6" t="s">
        <v>188</v>
      </c>
      <c r="C20" s="23">
        <v>90</v>
      </c>
      <c r="D20" s="56">
        <v>59</v>
      </c>
    </row>
    <row r="21" spans="1:5" ht="16" x14ac:dyDescent="0.2">
      <c r="A21" s="2" t="s">
        <v>189</v>
      </c>
      <c r="B21" s="6" t="s">
        <v>190</v>
      </c>
      <c r="C21" s="10">
        <v>92</v>
      </c>
      <c r="D21" s="56">
        <v>69</v>
      </c>
    </row>
    <row r="22" spans="1:5" ht="16" x14ac:dyDescent="0.2">
      <c r="A22" s="2" t="s">
        <v>191</v>
      </c>
      <c r="B22" s="6" t="s">
        <v>192</v>
      </c>
      <c r="C22" s="10">
        <v>90</v>
      </c>
      <c r="D22" s="56">
        <v>69</v>
      </c>
    </row>
    <row r="23" spans="1:5" ht="16" x14ac:dyDescent="0.2">
      <c r="A23" s="2" t="s">
        <v>193</v>
      </c>
      <c r="B23" s="6" t="s">
        <v>194</v>
      </c>
      <c r="C23" s="10">
        <v>90</v>
      </c>
      <c r="D23" s="56">
        <v>69</v>
      </c>
    </row>
    <row r="24" spans="1:5" ht="16" x14ac:dyDescent="0.2">
      <c r="A24" s="2" t="s">
        <v>195</v>
      </c>
      <c r="B24" s="6" t="s">
        <v>196</v>
      </c>
      <c r="C24" s="10">
        <v>95</v>
      </c>
      <c r="D24" s="56">
        <v>55</v>
      </c>
    </row>
    <row r="25" spans="1:5" ht="16" x14ac:dyDescent="0.2">
      <c r="A25" s="2" t="s">
        <v>197</v>
      </c>
      <c r="B25" s="6" t="s">
        <v>198</v>
      </c>
      <c r="C25" s="10">
        <v>91</v>
      </c>
      <c r="D25" s="56">
        <v>55</v>
      </c>
    </row>
    <row r="26" spans="1:5" ht="16" x14ac:dyDescent="0.2">
      <c r="A26" s="2" t="s">
        <v>199</v>
      </c>
      <c r="B26" s="6" t="s">
        <v>200</v>
      </c>
      <c r="C26" s="10">
        <v>93</v>
      </c>
      <c r="D26" s="56">
        <v>59</v>
      </c>
    </row>
    <row r="27" spans="1:5" ht="16" x14ac:dyDescent="0.2">
      <c r="A27" s="2" t="s">
        <v>201</v>
      </c>
      <c r="B27" s="6" t="s">
        <v>202</v>
      </c>
      <c r="C27" s="10">
        <v>92</v>
      </c>
      <c r="D27" s="56">
        <v>56</v>
      </c>
    </row>
    <row r="28" spans="1:5" ht="16" x14ac:dyDescent="0.2">
      <c r="A28" s="2" t="s">
        <v>203</v>
      </c>
      <c r="B28" s="6" t="s">
        <v>204</v>
      </c>
      <c r="C28" s="10">
        <v>93</v>
      </c>
      <c r="D28" s="56">
        <v>56</v>
      </c>
    </row>
    <row r="29" spans="1:5" ht="39" customHeight="1" x14ac:dyDescent="0.25">
      <c r="A29" s="29" t="s">
        <v>205</v>
      </c>
      <c r="B29" s="39" t="s">
        <v>206</v>
      </c>
      <c r="C29" s="40" t="s">
        <v>151</v>
      </c>
      <c r="D29" s="40" t="s">
        <v>207</v>
      </c>
    </row>
    <row r="30" spans="1:5" ht="16" x14ac:dyDescent="0.2">
      <c r="A30" s="2" t="s">
        <v>208</v>
      </c>
      <c r="B30" s="4" t="s">
        <v>209</v>
      </c>
      <c r="C30" s="47">
        <v>77</v>
      </c>
      <c r="D30" s="24" t="s">
        <v>210</v>
      </c>
      <c r="E30" t="s">
        <v>157</v>
      </c>
    </row>
    <row r="31" spans="1:5" ht="16" x14ac:dyDescent="0.2">
      <c r="A31" s="2" t="s">
        <v>211</v>
      </c>
      <c r="B31" s="4" t="s">
        <v>209</v>
      </c>
      <c r="C31" s="47">
        <v>77</v>
      </c>
      <c r="D31" s="24" t="s">
        <v>210</v>
      </c>
      <c r="E31" t="s">
        <v>157</v>
      </c>
    </row>
    <row r="32" spans="1:5" ht="16" x14ac:dyDescent="0.2">
      <c r="A32" s="2" t="s">
        <v>212</v>
      </c>
      <c r="B32" s="4" t="s">
        <v>209</v>
      </c>
      <c r="C32" s="47">
        <v>77</v>
      </c>
      <c r="D32" s="24" t="s">
        <v>210</v>
      </c>
      <c r="E32" t="s">
        <v>157</v>
      </c>
    </row>
    <row r="33" spans="1:5" ht="17.5" customHeight="1" x14ac:dyDescent="0.2">
      <c r="A33" s="2" t="s">
        <v>187</v>
      </c>
      <c r="B33" s="6" t="s">
        <v>213</v>
      </c>
      <c r="C33" s="47">
        <v>93</v>
      </c>
      <c r="D33" s="24" t="s">
        <v>210</v>
      </c>
    </row>
    <row r="34" spans="1:5" ht="41.25" customHeight="1" x14ac:dyDescent="0.25">
      <c r="A34" s="29" t="s">
        <v>214</v>
      </c>
      <c r="B34" s="39" t="s">
        <v>150</v>
      </c>
      <c r="C34" s="40" t="s">
        <v>151</v>
      </c>
      <c r="D34" s="40" t="s">
        <v>152</v>
      </c>
    </row>
    <row r="35" spans="1:5" ht="16" x14ac:dyDescent="0.2">
      <c r="A35" s="2" t="s">
        <v>215</v>
      </c>
      <c r="B35" s="4" t="s">
        <v>216</v>
      </c>
      <c r="C35" s="48">
        <v>90</v>
      </c>
      <c r="D35" s="62">
        <v>34</v>
      </c>
    </row>
    <row r="36" spans="1:5" ht="16" x14ac:dyDescent="0.2">
      <c r="A36" s="2" t="s">
        <v>217</v>
      </c>
      <c r="B36" s="4">
        <v>19330</v>
      </c>
      <c r="C36" s="4">
        <v>92</v>
      </c>
      <c r="D36" s="62">
        <v>42</v>
      </c>
    </row>
    <row r="37" spans="1:5" ht="15.5" customHeight="1" x14ac:dyDescent="0.2">
      <c r="A37" s="2" t="s">
        <v>218</v>
      </c>
      <c r="B37" s="4">
        <v>10000</v>
      </c>
      <c r="C37" s="4">
        <v>90</v>
      </c>
      <c r="D37" s="58">
        <v>38</v>
      </c>
    </row>
    <row r="38" spans="1:5" ht="16" x14ac:dyDescent="0.2">
      <c r="A38" s="2" t="s">
        <v>219</v>
      </c>
      <c r="B38" s="4">
        <v>2400</v>
      </c>
      <c r="C38" s="4">
        <v>90</v>
      </c>
      <c r="D38" s="58">
        <v>40</v>
      </c>
    </row>
    <row r="39" spans="1:5" ht="16" x14ac:dyDescent="0.2">
      <c r="A39" s="22" t="s">
        <v>220</v>
      </c>
      <c r="B39" s="15">
        <v>2250</v>
      </c>
      <c r="C39" s="15">
        <v>96</v>
      </c>
      <c r="D39" s="15">
        <v>76</v>
      </c>
    </row>
    <row r="40" spans="1:5" ht="16" x14ac:dyDescent="0.2">
      <c r="A40" s="22" t="s">
        <v>221</v>
      </c>
      <c r="B40" s="45">
        <v>975</v>
      </c>
      <c r="C40" s="45">
        <v>86</v>
      </c>
      <c r="D40" s="15">
        <v>48</v>
      </c>
    </row>
    <row r="41" spans="1:5" ht="16" x14ac:dyDescent="0.2">
      <c r="A41" s="2" t="s">
        <v>222</v>
      </c>
      <c r="B41" s="4">
        <v>1550</v>
      </c>
      <c r="C41" s="4">
        <v>88</v>
      </c>
      <c r="D41" s="4">
        <v>41</v>
      </c>
    </row>
    <row r="42" spans="1:5" ht="16" x14ac:dyDescent="0.2">
      <c r="A42" s="2" t="s">
        <v>223</v>
      </c>
      <c r="B42" s="4">
        <v>400</v>
      </c>
      <c r="C42" s="1">
        <v>97</v>
      </c>
      <c r="D42" s="4">
        <v>74</v>
      </c>
    </row>
    <row r="43" spans="1:5" ht="16" x14ac:dyDescent="0.2">
      <c r="A43" s="2" t="s">
        <v>224</v>
      </c>
      <c r="B43" s="4">
        <v>175</v>
      </c>
      <c r="C43" s="4">
        <v>87</v>
      </c>
      <c r="D43" s="4">
        <v>70</v>
      </c>
    </row>
    <row r="44" spans="1:5" ht="32.25" customHeight="1" x14ac:dyDescent="0.25">
      <c r="A44" s="29" t="s">
        <v>225</v>
      </c>
      <c r="B44" s="39" t="s">
        <v>150</v>
      </c>
      <c r="C44" s="40" t="s">
        <v>151</v>
      </c>
      <c r="D44" s="40" t="s">
        <v>207</v>
      </c>
    </row>
    <row r="45" spans="1:5" ht="18.5" customHeight="1" x14ac:dyDescent="0.2">
      <c r="A45" s="13" t="s">
        <v>226</v>
      </c>
      <c r="B45" s="4" t="s">
        <v>227</v>
      </c>
      <c r="C45" s="33">
        <v>98</v>
      </c>
      <c r="D45" s="24" t="s">
        <v>228</v>
      </c>
    </row>
    <row r="46" spans="1:5" ht="17.5" customHeight="1" x14ac:dyDescent="0.2">
      <c r="A46" s="13" t="s">
        <v>229</v>
      </c>
      <c r="B46" s="4" t="s">
        <v>230</v>
      </c>
      <c r="C46" s="49">
        <v>98</v>
      </c>
      <c r="D46" s="24" t="s">
        <v>228</v>
      </c>
    </row>
    <row r="47" spans="1:5" ht="16" x14ac:dyDescent="0.2">
      <c r="A47" s="8" t="s">
        <v>231</v>
      </c>
      <c r="B47" s="6" t="s">
        <v>232</v>
      </c>
      <c r="C47" s="23">
        <v>90</v>
      </c>
      <c r="D47" s="56" t="s">
        <v>228</v>
      </c>
      <c r="E47" t="s">
        <v>157</v>
      </c>
    </row>
    <row r="48" spans="1:5" ht="16" x14ac:dyDescent="0.2">
      <c r="A48" s="2" t="s">
        <v>233</v>
      </c>
      <c r="B48" s="4" t="s">
        <v>234</v>
      </c>
      <c r="C48" s="23">
        <v>98</v>
      </c>
      <c r="D48" s="57" t="s">
        <v>235</v>
      </c>
    </row>
    <row r="49" spans="1:4" ht="16" x14ac:dyDescent="0.2">
      <c r="A49" s="2" t="s">
        <v>236</v>
      </c>
      <c r="B49" s="4" t="s">
        <v>237</v>
      </c>
      <c r="C49" s="23">
        <v>50</v>
      </c>
      <c r="D49" s="56"/>
    </row>
    <row r="50" spans="1:4" ht="16" x14ac:dyDescent="0.2">
      <c r="A50" s="8" t="s">
        <v>238</v>
      </c>
      <c r="B50" s="4" t="s">
        <v>239</v>
      </c>
      <c r="C50" s="23">
        <v>99</v>
      </c>
      <c r="D50" s="24" t="s">
        <v>228</v>
      </c>
    </row>
    <row r="51" spans="1:4" ht="16.25" customHeight="1" x14ac:dyDescent="0.2">
      <c r="A51" s="8" t="s">
        <v>240</v>
      </c>
      <c r="B51" s="7" t="s">
        <v>241</v>
      </c>
      <c r="C51" s="32">
        <v>98</v>
      </c>
      <c r="D51" s="24" t="s">
        <v>228</v>
      </c>
    </row>
    <row r="52" spans="1:4" ht="15.5" customHeight="1" x14ac:dyDescent="0.2">
      <c r="A52" s="8" t="s">
        <v>242</v>
      </c>
      <c r="B52" s="4" t="s">
        <v>243</v>
      </c>
      <c r="C52" s="23">
        <v>99</v>
      </c>
      <c r="D52" s="24"/>
    </row>
    <row r="53" spans="1:4" ht="16.25" customHeight="1" x14ac:dyDescent="0.2">
      <c r="A53" s="8" t="s">
        <v>244</v>
      </c>
      <c r="B53" s="15" t="s">
        <v>245</v>
      </c>
      <c r="C53" s="31">
        <v>99</v>
      </c>
      <c r="D53" s="24" t="s">
        <v>228</v>
      </c>
    </row>
    <row r="54" spans="1:4" ht="16" x14ac:dyDescent="0.2">
      <c r="A54" s="18" t="s">
        <v>246</v>
      </c>
      <c r="B54" s="4" t="s">
        <v>247</v>
      </c>
      <c r="C54" s="23">
        <v>98</v>
      </c>
      <c r="D54" s="57" t="s">
        <v>248</v>
      </c>
    </row>
    <row r="55" spans="1:4" ht="16" x14ac:dyDescent="0.2">
      <c r="A55" s="19" t="s">
        <v>249</v>
      </c>
      <c r="B55" s="4" t="s">
        <v>250</v>
      </c>
      <c r="C55" s="23">
        <v>98</v>
      </c>
      <c r="D55" s="57" t="s">
        <v>251</v>
      </c>
    </row>
    <row r="56" spans="1:4" ht="17" customHeight="1" x14ac:dyDescent="0.2">
      <c r="A56" s="19" t="s">
        <v>252</v>
      </c>
      <c r="B56" s="4" t="s">
        <v>253</v>
      </c>
      <c r="C56" s="23">
        <v>99</v>
      </c>
      <c r="D56" s="57" t="s">
        <v>254</v>
      </c>
    </row>
    <row r="57" spans="1:4" ht="16" x14ac:dyDescent="0.2">
      <c r="A57" s="9" t="s">
        <v>255</v>
      </c>
      <c r="B57" s="4" t="s">
        <v>256</v>
      </c>
      <c r="C57" s="23">
        <v>98</v>
      </c>
      <c r="D57" s="24" t="s">
        <v>228</v>
      </c>
    </row>
    <row r="58" spans="1:4" ht="17.25" customHeight="1" x14ac:dyDescent="0.2">
      <c r="A58" s="2" t="s">
        <v>257</v>
      </c>
      <c r="B58" s="4" t="s">
        <v>258</v>
      </c>
      <c r="C58" s="23">
        <v>80</v>
      </c>
      <c r="D58" s="57" t="s">
        <v>259</v>
      </c>
    </row>
    <row r="59" spans="1:4" ht="16" x14ac:dyDescent="0.2">
      <c r="A59" s="2" t="s">
        <v>260</v>
      </c>
      <c r="B59" s="4" t="s">
        <v>261</v>
      </c>
      <c r="C59" s="23">
        <v>80</v>
      </c>
      <c r="D59" s="57" t="s">
        <v>259</v>
      </c>
    </row>
    <row r="60" spans="1:4" ht="19.5" customHeight="1" x14ac:dyDescent="0.2">
      <c r="A60" s="2" t="s">
        <v>262</v>
      </c>
      <c r="B60" s="4" t="s">
        <v>263</v>
      </c>
      <c r="C60" s="23">
        <v>80</v>
      </c>
      <c r="D60" s="57" t="s">
        <v>259</v>
      </c>
    </row>
    <row r="61" spans="1:4" ht="18.75" customHeight="1" x14ac:dyDescent="0.2">
      <c r="A61" s="2" t="s">
        <v>264</v>
      </c>
      <c r="B61" s="4" t="s">
        <v>265</v>
      </c>
      <c r="C61" s="23">
        <v>78</v>
      </c>
      <c r="D61" s="57" t="s">
        <v>259</v>
      </c>
    </row>
    <row r="62" spans="1:4" ht="17.5" customHeight="1" x14ac:dyDescent="0.2">
      <c r="A62" s="2" t="s">
        <v>266</v>
      </c>
      <c r="B62" s="4" t="s">
        <v>267</v>
      </c>
      <c r="C62" s="23">
        <v>85</v>
      </c>
      <c r="D62" s="57" t="s">
        <v>268</v>
      </c>
    </row>
    <row r="63" spans="1:4" ht="18" customHeight="1" x14ac:dyDescent="0.2">
      <c r="A63" s="2" t="s">
        <v>269</v>
      </c>
      <c r="B63" s="5" t="s">
        <v>270</v>
      </c>
      <c r="C63" s="23">
        <v>44</v>
      </c>
      <c r="D63" s="57"/>
    </row>
    <row r="64" spans="1:4" ht="18" customHeight="1" x14ac:dyDescent="0.2">
      <c r="A64" s="2" t="s">
        <v>271</v>
      </c>
      <c r="B64" s="4" t="s">
        <v>272</v>
      </c>
      <c r="C64" s="23">
        <v>80</v>
      </c>
      <c r="D64" s="57" t="s">
        <v>273</v>
      </c>
    </row>
    <row r="65" spans="1:4" ht="32.25" customHeight="1" x14ac:dyDescent="0.2">
      <c r="A65" s="3" t="s">
        <v>274</v>
      </c>
      <c r="B65" s="6" t="s">
        <v>275</v>
      </c>
      <c r="C65" s="51"/>
      <c r="D65" s="56"/>
    </row>
    <row r="66" spans="1:4" ht="18" customHeight="1" x14ac:dyDescent="0.25">
      <c r="A66" s="28" t="s">
        <v>276</v>
      </c>
      <c r="B66" s="20" t="s">
        <v>277</v>
      </c>
      <c r="C66" s="30" t="s">
        <v>151</v>
      </c>
      <c r="D66" s="65"/>
    </row>
    <row r="67" spans="1:4" ht="16" x14ac:dyDescent="0.2">
      <c r="A67" s="2" t="s">
        <v>278</v>
      </c>
      <c r="B67" s="24">
        <v>48</v>
      </c>
      <c r="C67" s="10">
        <v>10</v>
      </c>
      <c r="D67" s="56">
        <v>75</v>
      </c>
    </row>
    <row r="68" spans="1:4" ht="16" x14ac:dyDescent="0.2">
      <c r="A68" s="2" t="s">
        <v>279</v>
      </c>
      <c r="B68" s="24">
        <v>1500</v>
      </c>
      <c r="C68" s="10">
        <v>10</v>
      </c>
      <c r="D68" s="56">
        <v>75</v>
      </c>
    </row>
    <row r="69" spans="1:4" ht="16" x14ac:dyDescent="0.2">
      <c r="A69" s="2" t="s">
        <v>280</v>
      </c>
      <c r="B69" s="24">
        <v>2550</v>
      </c>
      <c r="C69" s="10">
        <v>10</v>
      </c>
      <c r="D69" s="56">
        <v>81</v>
      </c>
    </row>
    <row r="70" spans="1:4" ht="16" x14ac:dyDescent="0.2">
      <c r="A70" s="2" t="s">
        <v>281</v>
      </c>
      <c r="B70" s="24">
        <v>48</v>
      </c>
      <c r="C70" s="10">
        <v>10</v>
      </c>
      <c r="D70" s="56">
        <v>75</v>
      </c>
    </row>
    <row r="71" spans="1:4" ht="16" x14ac:dyDescent="0.2">
      <c r="A71" s="2" t="s">
        <v>282</v>
      </c>
      <c r="B71" s="24">
        <v>1500</v>
      </c>
      <c r="C71" s="10">
        <v>10</v>
      </c>
      <c r="D71" s="56">
        <v>75</v>
      </c>
    </row>
    <row r="72" spans="1:4" ht="16" x14ac:dyDescent="0.2">
      <c r="A72" s="2" t="s">
        <v>283</v>
      </c>
      <c r="B72" s="5">
        <v>1280</v>
      </c>
      <c r="C72" s="10">
        <v>10</v>
      </c>
      <c r="D72" s="56">
        <v>77</v>
      </c>
    </row>
    <row r="73" spans="1:4" ht="16" x14ac:dyDescent="0.2">
      <c r="A73" s="2" t="s">
        <v>284</v>
      </c>
      <c r="B73" s="24">
        <v>32</v>
      </c>
      <c r="C73" s="10">
        <v>10</v>
      </c>
      <c r="D73" s="56">
        <v>77</v>
      </c>
    </row>
    <row r="74" spans="1:4" ht="16" x14ac:dyDescent="0.2">
      <c r="A74" s="2" t="s">
        <v>285</v>
      </c>
      <c r="B74" s="24">
        <v>102</v>
      </c>
      <c r="C74" s="10">
        <v>5</v>
      </c>
      <c r="D74" s="56">
        <v>75</v>
      </c>
    </row>
    <row r="75" spans="1:4" ht="16" x14ac:dyDescent="0.2">
      <c r="A75" s="2" t="s">
        <v>286</v>
      </c>
      <c r="B75" s="24">
        <v>1020</v>
      </c>
      <c r="C75" s="10">
        <v>10</v>
      </c>
      <c r="D75" s="56">
        <v>78</v>
      </c>
    </row>
    <row r="76" spans="1:4" ht="16" x14ac:dyDescent="0.2">
      <c r="A76" s="2" t="s">
        <v>287</v>
      </c>
      <c r="B76" s="24">
        <v>2000</v>
      </c>
      <c r="C76" s="10">
        <v>40</v>
      </c>
      <c r="D76" s="56">
        <v>80</v>
      </c>
    </row>
    <row r="77" spans="1:4" ht="16" x14ac:dyDescent="0.2">
      <c r="A77" s="2" t="s">
        <v>288</v>
      </c>
      <c r="B77" s="68">
        <v>1024</v>
      </c>
      <c r="C77" s="10">
        <v>10</v>
      </c>
      <c r="D77" s="56">
        <v>77</v>
      </c>
    </row>
    <row r="78" spans="1:4" ht="16" x14ac:dyDescent="0.2">
      <c r="A78" s="2" t="s">
        <v>289</v>
      </c>
      <c r="B78" s="24">
        <v>1280</v>
      </c>
      <c r="C78" s="10">
        <v>10</v>
      </c>
      <c r="D78" s="56">
        <v>77</v>
      </c>
    </row>
    <row r="79" spans="1:4" ht="16" x14ac:dyDescent="0.2">
      <c r="A79" s="2" t="s">
        <v>290</v>
      </c>
      <c r="B79" s="24">
        <v>1280</v>
      </c>
      <c r="C79" s="10">
        <v>10</v>
      </c>
      <c r="D79" s="56">
        <v>77</v>
      </c>
    </row>
    <row r="80" spans="1:4" ht="16" x14ac:dyDescent="0.2">
      <c r="A80" s="2" t="s">
        <v>291</v>
      </c>
      <c r="B80" s="24">
        <v>128</v>
      </c>
      <c r="C80" s="10"/>
      <c r="D80" s="56"/>
    </row>
    <row r="81" spans="1:4" ht="16" x14ac:dyDescent="0.2">
      <c r="A81" s="2" t="s">
        <v>292</v>
      </c>
      <c r="B81" s="24">
        <v>1750</v>
      </c>
      <c r="C81" s="32"/>
      <c r="D81" s="56"/>
    </row>
    <row r="82" spans="1:4" ht="16" x14ac:dyDescent="0.2">
      <c r="A82" s="2" t="s">
        <v>293</v>
      </c>
      <c r="B82" s="33"/>
      <c r="C82" s="23"/>
      <c r="D82" s="56"/>
    </row>
    <row r="83" spans="1:4" ht="16" x14ac:dyDescent="0.2">
      <c r="A83" s="2" t="s">
        <v>294</v>
      </c>
      <c r="B83" s="24"/>
      <c r="C83" s="10"/>
      <c r="D83" s="56"/>
    </row>
    <row r="84" spans="1:4" ht="16" x14ac:dyDescent="0.2">
      <c r="A84" s="2" t="s">
        <v>295</v>
      </c>
      <c r="B84" s="24">
        <v>128</v>
      </c>
      <c r="C84" s="10">
        <v>10</v>
      </c>
      <c r="D84" s="56">
        <v>77</v>
      </c>
    </row>
    <row r="85" spans="1:4" ht="16" x14ac:dyDescent="0.2">
      <c r="A85" s="2" t="s">
        <v>296</v>
      </c>
      <c r="B85" s="10" t="s">
        <v>297</v>
      </c>
      <c r="C85" s="10">
        <v>10</v>
      </c>
      <c r="D85" s="51">
        <v>85</v>
      </c>
    </row>
    <row r="86" spans="1:4" ht="16" x14ac:dyDescent="0.2">
      <c r="A86" s="2" t="s">
        <v>298</v>
      </c>
      <c r="B86" s="10" t="s">
        <v>299</v>
      </c>
      <c r="C86" s="10">
        <v>10</v>
      </c>
      <c r="D86" s="56">
        <v>85</v>
      </c>
    </row>
    <row r="87" spans="1:4" ht="16" x14ac:dyDescent="0.2">
      <c r="A87" s="2" t="s">
        <v>300</v>
      </c>
      <c r="B87" s="24"/>
      <c r="C87" s="10"/>
      <c r="D87" s="56"/>
    </row>
    <row r="88" spans="1:4" ht="16" x14ac:dyDescent="0.2">
      <c r="A88" s="2" t="s">
        <v>301</v>
      </c>
      <c r="B88" s="24"/>
      <c r="C88" s="10"/>
      <c r="D88" s="56"/>
    </row>
    <row r="89" spans="1:4" ht="16" x14ac:dyDescent="0.2">
      <c r="A89" s="2" t="s">
        <v>302</v>
      </c>
      <c r="B89" s="24"/>
      <c r="C89" s="10"/>
      <c r="D89" s="56"/>
    </row>
    <row r="90" spans="1:4" ht="16" x14ac:dyDescent="0.2">
      <c r="A90" s="2" t="s">
        <v>303</v>
      </c>
      <c r="B90" s="10">
        <v>80000</v>
      </c>
      <c r="C90" s="10">
        <v>55</v>
      </c>
      <c r="D90" s="56">
        <v>35</v>
      </c>
    </row>
    <row r="91" spans="1:4" ht="16" x14ac:dyDescent="0.2">
      <c r="A91" s="2" t="s">
        <v>304</v>
      </c>
      <c r="B91" s="24">
        <v>80000</v>
      </c>
      <c r="C91" s="10">
        <v>60</v>
      </c>
      <c r="D91" s="56">
        <v>37</v>
      </c>
    </row>
    <row r="92" spans="1:4" ht="16" x14ac:dyDescent="0.2">
      <c r="A92" s="2" t="s">
        <v>305</v>
      </c>
      <c r="B92" s="51">
        <v>80000</v>
      </c>
      <c r="C92" s="56"/>
      <c r="D92" s="67"/>
    </row>
    <row r="93" spans="1:4" ht="16" x14ac:dyDescent="0.2">
      <c r="A93" s="2" t="s">
        <v>306</v>
      </c>
      <c r="B93" s="24">
        <v>80000</v>
      </c>
      <c r="C93" s="5">
        <v>56</v>
      </c>
      <c r="D93" s="55">
        <v>40</v>
      </c>
    </row>
    <row r="94" spans="1:4" ht="16" x14ac:dyDescent="0.2">
      <c r="A94" s="2" t="s">
        <v>307</v>
      </c>
      <c r="B94" s="24">
        <v>32000</v>
      </c>
      <c r="C94" s="26">
        <v>57</v>
      </c>
      <c r="D94" s="55">
        <v>58</v>
      </c>
    </row>
    <row r="95" spans="1:4" ht="16" x14ac:dyDescent="0.2">
      <c r="A95" s="8" t="s">
        <v>308</v>
      </c>
      <c r="B95" s="34">
        <v>8000</v>
      </c>
      <c r="C95" s="35">
        <v>74</v>
      </c>
      <c r="D95" s="10">
        <v>48</v>
      </c>
    </row>
    <row r="96" spans="1:4" ht="16" x14ac:dyDescent="0.2">
      <c r="A96" s="2" t="s">
        <v>309</v>
      </c>
      <c r="B96" s="68">
        <v>26000</v>
      </c>
      <c r="C96" s="66"/>
      <c r="D96" s="66" t="s">
        <v>310</v>
      </c>
    </row>
    <row r="97" spans="1:9" ht="16" x14ac:dyDescent="0.2">
      <c r="A97" s="2" t="s">
        <v>311</v>
      </c>
      <c r="B97" s="24">
        <v>1000</v>
      </c>
      <c r="C97" s="24">
        <v>99</v>
      </c>
      <c r="D97" s="24">
        <v>57</v>
      </c>
    </row>
    <row r="98" spans="1:9" ht="16" x14ac:dyDescent="0.2">
      <c r="A98" s="2" t="s">
        <v>312</v>
      </c>
      <c r="B98" s="24">
        <v>300</v>
      </c>
      <c r="C98" s="10">
        <v>99</v>
      </c>
      <c r="D98" s="10">
        <v>69</v>
      </c>
    </row>
    <row r="99" spans="1:9" ht="16" x14ac:dyDescent="0.2">
      <c r="A99" s="2" t="s">
        <v>313</v>
      </c>
      <c r="B99" s="16" t="s">
        <v>314</v>
      </c>
      <c r="C99" s="10" t="s">
        <v>315</v>
      </c>
      <c r="D99" s="10">
        <v>75</v>
      </c>
    </row>
    <row r="100" spans="1:9" ht="16" x14ac:dyDescent="0.2">
      <c r="A100" s="2" t="s">
        <v>316</v>
      </c>
      <c r="B100" s="10" t="s">
        <v>317</v>
      </c>
      <c r="C100" s="10" t="s">
        <v>315</v>
      </c>
      <c r="D100" s="10">
        <v>75</v>
      </c>
    </row>
    <row r="101" spans="1:9" ht="16" x14ac:dyDescent="0.2">
      <c r="A101" s="2" t="s">
        <v>318</v>
      </c>
      <c r="B101" s="24">
        <v>10</v>
      </c>
      <c r="C101" s="10" t="s">
        <v>315</v>
      </c>
      <c r="D101" s="10">
        <v>75</v>
      </c>
    </row>
    <row r="102" spans="1:9" ht="15" customHeight="1" x14ac:dyDescent="0.2">
      <c r="H102" s="11"/>
      <c r="I102" s="11"/>
    </row>
    <row r="103" spans="1:9" ht="15" customHeight="1" x14ac:dyDescent="0.2">
      <c r="H103" s="11"/>
      <c r="I103" s="11"/>
    </row>
    <row r="104" spans="1:9" ht="15" customHeight="1" x14ac:dyDescent="0.2">
      <c r="H104" s="11"/>
      <c r="I104" s="11"/>
    </row>
    <row r="105" spans="1:9" ht="15" customHeight="1" x14ac:dyDescent="0.2">
      <c r="H105" s="11"/>
      <c r="I105" s="11"/>
    </row>
  </sheetData>
  <mergeCells count="1">
    <mergeCell ref="B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7BD36-8D88-3742-A4AC-48B0AFB67141}">
  <dimension ref="A1:J104"/>
  <sheetViews>
    <sheetView topLeftCell="A15" zoomScale="150" zoomScaleNormal="150" workbookViewId="0">
      <selection activeCell="A98" sqref="A98"/>
    </sheetView>
  </sheetViews>
  <sheetFormatPr baseColWidth="10" defaultColWidth="8.83203125" defaultRowHeight="15" customHeight="1" x14ac:dyDescent="0.2"/>
  <cols>
    <col min="1" max="1" width="85.1640625" customWidth="1"/>
    <col min="2" max="2" width="32.5" style="5" customWidth="1"/>
    <col min="3" max="3" width="22.1640625" style="5" customWidth="1"/>
    <col min="4" max="4" width="46.5" customWidth="1"/>
    <col min="5" max="5" width="21" customWidth="1"/>
    <col min="7" max="7" width="18.5" customWidth="1"/>
    <col min="8" max="8" width="11.1640625" bestFit="1" customWidth="1"/>
  </cols>
  <sheetData>
    <row r="1" spans="1:5" ht="57" customHeight="1" x14ac:dyDescent="0.2">
      <c r="A1" s="50" t="s">
        <v>319</v>
      </c>
      <c r="B1" s="105" t="s">
        <v>320</v>
      </c>
      <c r="C1" s="106"/>
      <c r="D1" s="36" t="s">
        <v>148</v>
      </c>
    </row>
    <row r="2" spans="1:5" ht="18" customHeight="1" x14ac:dyDescent="0.25">
      <c r="A2" s="38" t="s">
        <v>149</v>
      </c>
      <c r="B2" s="39" t="s">
        <v>150</v>
      </c>
      <c r="C2" s="40" t="s">
        <v>151</v>
      </c>
      <c r="D2" s="40" t="s">
        <v>152</v>
      </c>
    </row>
    <row r="3" spans="1:5" ht="17" customHeight="1" x14ac:dyDescent="0.2">
      <c r="A3" s="2" t="s">
        <v>153</v>
      </c>
      <c r="B3" s="1" t="s">
        <v>321</v>
      </c>
      <c r="C3" s="57">
        <v>91</v>
      </c>
      <c r="D3" s="57">
        <v>39</v>
      </c>
    </row>
    <row r="4" spans="1:5" ht="16.25" customHeight="1" x14ac:dyDescent="0.2">
      <c r="A4" s="2" t="s">
        <v>155</v>
      </c>
      <c r="B4" s="4" t="s">
        <v>322</v>
      </c>
      <c r="C4" s="4">
        <v>70</v>
      </c>
      <c r="D4" s="57">
        <v>40</v>
      </c>
      <c r="E4" t="s">
        <v>323</v>
      </c>
    </row>
    <row r="5" spans="1:5" ht="15.5" customHeight="1" x14ac:dyDescent="0.2">
      <c r="A5" s="2" t="s">
        <v>158</v>
      </c>
      <c r="B5" s="4" t="s">
        <v>324</v>
      </c>
      <c r="C5" s="4">
        <v>92</v>
      </c>
      <c r="D5" s="57">
        <v>57</v>
      </c>
    </row>
    <row r="6" spans="1:5" ht="18" customHeight="1" x14ac:dyDescent="0.2">
      <c r="A6" s="2" t="s">
        <v>160</v>
      </c>
      <c r="B6" s="1" t="s">
        <v>325</v>
      </c>
      <c r="C6" s="4">
        <v>94</v>
      </c>
      <c r="D6" s="57">
        <v>41</v>
      </c>
    </row>
    <row r="7" spans="1:5" ht="14.5" customHeight="1" x14ac:dyDescent="0.2">
      <c r="A7" s="2" t="s">
        <v>162</v>
      </c>
      <c r="B7" s="4" t="s">
        <v>326</v>
      </c>
      <c r="C7" s="57">
        <v>96</v>
      </c>
      <c r="D7" s="57">
        <v>43</v>
      </c>
    </row>
    <row r="8" spans="1:5" ht="14" customHeight="1" x14ac:dyDescent="0.2">
      <c r="A8" s="2" t="s">
        <v>164</v>
      </c>
      <c r="B8" s="4" t="s">
        <v>327</v>
      </c>
      <c r="C8" s="4">
        <v>90</v>
      </c>
      <c r="D8" s="57">
        <v>41</v>
      </c>
    </row>
    <row r="9" spans="1:5" ht="16" x14ac:dyDescent="0.2">
      <c r="A9" s="2" t="s">
        <v>166</v>
      </c>
      <c r="B9" s="4" t="s">
        <v>328</v>
      </c>
      <c r="C9" s="57">
        <v>90</v>
      </c>
      <c r="D9" s="57">
        <v>43</v>
      </c>
    </row>
    <row r="10" spans="1:5" ht="16" x14ac:dyDescent="0.2">
      <c r="A10" s="2" t="s">
        <v>168</v>
      </c>
      <c r="B10" s="4" t="s">
        <v>329</v>
      </c>
      <c r="C10" s="4">
        <v>90</v>
      </c>
      <c r="D10" s="57">
        <v>46</v>
      </c>
    </row>
    <row r="11" spans="1:5" ht="16" x14ac:dyDescent="0.2">
      <c r="A11" s="2" t="s">
        <v>170</v>
      </c>
      <c r="B11" s="4" t="s">
        <v>330</v>
      </c>
      <c r="C11" s="4">
        <v>92</v>
      </c>
      <c r="D11" s="57">
        <v>40</v>
      </c>
    </row>
    <row r="12" spans="1:5" ht="16" x14ac:dyDescent="0.2">
      <c r="A12" s="2" t="s">
        <v>172</v>
      </c>
      <c r="B12" s="1" t="s">
        <v>186</v>
      </c>
      <c r="C12" s="57">
        <v>92</v>
      </c>
      <c r="D12" s="57">
        <v>42</v>
      </c>
    </row>
    <row r="13" spans="1:5" ht="16" x14ac:dyDescent="0.2">
      <c r="A13" s="2" t="s">
        <v>174</v>
      </c>
      <c r="B13" s="1" t="s">
        <v>331</v>
      </c>
      <c r="C13" s="4">
        <v>90</v>
      </c>
      <c r="D13" s="57">
        <v>47</v>
      </c>
    </row>
    <row r="14" spans="1:5" ht="16" x14ac:dyDescent="0.2">
      <c r="A14" s="2" t="s">
        <v>176</v>
      </c>
      <c r="B14" s="4" t="s">
        <v>332</v>
      </c>
      <c r="C14" s="4">
        <v>90</v>
      </c>
      <c r="D14" s="57">
        <v>47</v>
      </c>
    </row>
    <row r="15" spans="1:5" ht="16" x14ac:dyDescent="0.2">
      <c r="A15" s="2" t="s">
        <v>178</v>
      </c>
      <c r="B15" s="1" t="s">
        <v>333</v>
      </c>
      <c r="C15" s="4">
        <v>94</v>
      </c>
      <c r="D15" s="57">
        <v>47</v>
      </c>
    </row>
    <row r="16" spans="1:5" ht="16" x14ac:dyDescent="0.2">
      <c r="A16" s="3" t="s">
        <v>180</v>
      </c>
      <c r="B16" s="46" t="s">
        <v>334</v>
      </c>
      <c r="C16" s="4">
        <v>92</v>
      </c>
      <c r="D16" s="57">
        <v>46</v>
      </c>
    </row>
    <row r="17" spans="1:6" ht="16" x14ac:dyDescent="0.2">
      <c r="A17" s="43" t="s">
        <v>182</v>
      </c>
      <c r="B17" s="7" t="s">
        <v>335</v>
      </c>
      <c r="C17" s="7">
        <v>92</v>
      </c>
      <c r="D17" s="57">
        <v>47</v>
      </c>
    </row>
    <row r="18" spans="1:6" ht="18" customHeight="1" x14ac:dyDescent="0.25">
      <c r="A18" s="38" t="s">
        <v>184</v>
      </c>
      <c r="B18" s="40" t="s">
        <v>336</v>
      </c>
      <c r="C18" s="40" t="s">
        <v>151</v>
      </c>
      <c r="D18" s="40" t="s">
        <v>152</v>
      </c>
    </row>
    <row r="19" spans="1:6" ht="16" x14ac:dyDescent="0.2">
      <c r="A19" s="22" t="s">
        <v>185</v>
      </c>
      <c r="B19" s="27" t="s">
        <v>337</v>
      </c>
      <c r="C19" s="54">
        <v>92</v>
      </c>
      <c r="D19" s="57">
        <v>63</v>
      </c>
    </row>
    <row r="20" spans="1:6" ht="16" x14ac:dyDescent="0.2">
      <c r="A20" s="2" t="s">
        <v>187</v>
      </c>
      <c r="B20" s="23" t="s">
        <v>338</v>
      </c>
      <c r="C20" s="56">
        <v>95</v>
      </c>
      <c r="D20" s="57">
        <v>63</v>
      </c>
    </row>
    <row r="21" spans="1:6" ht="16" x14ac:dyDescent="0.2">
      <c r="A21" s="2" t="s">
        <v>189</v>
      </c>
      <c r="B21" s="10" t="s">
        <v>339</v>
      </c>
      <c r="C21" s="56">
        <v>95</v>
      </c>
      <c r="D21" s="57">
        <v>81</v>
      </c>
    </row>
    <row r="22" spans="1:6" ht="16" x14ac:dyDescent="0.2">
      <c r="A22" s="2" t="s">
        <v>191</v>
      </c>
      <c r="B22" s="10" t="s">
        <v>340</v>
      </c>
      <c r="C22" s="56">
        <v>93</v>
      </c>
      <c r="D22" s="57">
        <v>64</v>
      </c>
    </row>
    <row r="23" spans="1:6" ht="16" x14ac:dyDescent="0.2">
      <c r="A23" s="2" t="s">
        <v>193</v>
      </c>
      <c r="B23" s="10" t="s">
        <v>341</v>
      </c>
      <c r="C23" s="56">
        <v>92</v>
      </c>
      <c r="D23" s="57">
        <v>61</v>
      </c>
    </row>
    <row r="24" spans="1:6" ht="16" x14ac:dyDescent="0.2">
      <c r="A24" s="2" t="s">
        <v>195</v>
      </c>
      <c r="B24" s="10" t="s">
        <v>342</v>
      </c>
      <c r="C24" s="56">
        <v>92</v>
      </c>
      <c r="D24" s="57">
        <v>67</v>
      </c>
      <c r="F24" t="s">
        <v>343</v>
      </c>
    </row>
    <row r="25" spans="1:6" ht="16" x14ac:dyDescent="0.2">
      <c r="A25" s="2" t="s">
        <v>197</v>
      </c>
      <c r="B25" s="10" t="s">
        <v>344</v>
      </c>
      <c r="C25" s="56">
        <v>92</v>
      </c>
      <c r="D25" s="57">
        <v>67</v>
      </c>
    </row>
    <row r="26" spans="1:6" ht="16" x14ac:dyDescent="0.2">
      <c r="A26" s="2" t="s">
        <v>199</v>
      </c>
      <c r="B26" s="10" t="s">
        <v>342</v>
      </c>
      <c r="C26" s="56">
        <v>90</v>
      </c>
      <c r="D26" s="57">
        <v>69</v>
      </c>
    </row>
    <row r="27" spans="1:6" ht="16" x14ac:dyDescent="0.2">
      <c r="A27" s="2" t="s">
        <v>201</v>
      </c>
      <c r="B27" s="10" t="s">
        <v>345</v>
      </c>
      <c r="C27" s="56">
        <v>90</v>
      </c>
      <c r="D27" s="57">
        <v>65</v>
      </c>
    </row>
    <row r="28" spans="1:6" ht="16" x14ac:dyDescent="0.2">
      <c r="A28" s="2" t="s">
        <v>203</v>
      </c>
      <c r="B28" s="10" t="s">
        <v>346</v>
      </c>
      <c r="C28" s="56">
        <v>92</v>
      </c>
      <c r="D28" s="57">
        <v>69</v>
      </c>
    </row>
    <row r="29" spans="1:6" ht="18" customHeight="1" x14ac:dyDescent="0.25">
      <c r="A29" s="29" t="s">
        <v>205</v>
      </c>
      <c r="B29" s="14" t="s">
        <v>336</v>
      </c>
      <c r="C29" s="40" t="s">
        <v>151</v>
      </c>
      <c r="D29" s="40" t="s">
        <v>207</v>
      </c>
    </row>
    <row r="30" spans="1:6" ht="16" x14ac:dyDescent="0.2">
      <c r="A30" s="2" t="s">
        <v>208</v>
      </c>
      <c r="B30" s="4" t="s">
        <v>209</v>
      </c>
      <c r="C30" s="47">
        <v>68</v>
      </c>
      <c r="D30" s="24" t="s">
        <v>210</v>
      </c>
      <c r="E30" t="s">
        <v>157</v>
      </c>
    </row>
    <row r="31" spans="1:6" ht="16" x14ac:dyDescent="0.2">
      <c r="A31" s="2" t="s">
        <v>211</v>
      </c>
      <c r="B31" s="4" t="s">
        <v>209</v>
      </c>
      <c r="C31" s="47">
        <v>68</v>
      </c>
      <c r="D31" s="24" t="s">
        <v>210</v>
      </c>
      <c r="E31" t="s">
        <v>157</v>
      </c>
    </row>
    <row r="32" spans="1:6" ht="16" x14ac:dyDescent="0.2">
      <c r="A32" s="2" t="s">
        <v>212</v>
      </c>
      <c r="B32" s="4" t="s">
        <v>209</v>
      </c>
      <c r="C32" s="47">
        <v>68</v>
      </c>
      <c r="D32" s="24" t="s">
        <v>210</v>
      </c>
      <c r="E32" t="s">
        <v>157</v>
      </c>
    </row>
    <row r="33" spans="1:10" ht="17.5" customHeight="1" x14ac:dyDescent="0.2">
      <c r="A33" s="2" t="s">
        <v>187</v>
      </c>
      <c r="B33" s="47" t="s">
        <v>347</v>
      </c>
      <c r="C33" s="56">
        <v>92</v>
      </c>
      <c r="D33" s="24" t="s">
        <v>210</v>
      </c>
    </row>
    <row r="34" spans="1:10" ht="18" customHeight="1" x14ac:dyDescent="0.25">
      <c r="A34" s="29" t="s">
        <v>214</v>
      </c>
      <c r="B34" s="12" t="s">
        <v>348</v>
      </c>
      <c r="C34" s="40" t="s">
        <v>151</v>
      </c>
      <c r="D34" s="40" t="s">
        <v>152</v>
      </c>
    </row>
    <row r="35" spans="1:10" ht="16" x14ac:dyDescent="0.2">
      <c r="A35" s="2" t="s">
        <v>215</v>
      </c>
      <c r="B35" s="48" t="s">
        <v>349</v>
      </c>
      <c r="C35" s="62">
        <v>90</v>
      </c>
      <c r="D35" s="57">
        <v>38</v>
      </c>
    </row>
    <row r="36" spans="1:10" ht="16" x14ac:dyDescent="0.2">
      <c r="A36" s="2" t="s">
        <v>217</v>
      </c>
      <c r="B36" s="4">
        <v>25400</v>
      </c>
      <c r="C36" s="62">
        <v>93</v>
      </c>
      <c r="D36" s="57">
        <v>41</v>
      </c>
      <c r="F36">
        <v>70400</v>
      </c>
      <c r="G36">
        <v>71400</v>
      </c>
      <c r="H36">
        <v>71000</v>
      </c>
      <c r="I36">
        <v>58000</v>
      </c>
      <c r="J36">
        <v>57200</v>
      </c>
    </row>
    <row r="37" spans="1:10" ht="15.5" customHeight="1" x14ac:dyDescent="0.2">
      <c r="A37" s="2" t="s">
        <v>218</v>
      </c>
      <c r="B37" s="4">
        <v>13300</v>
      </c>
      <c r="C37" s="58">
        <v>95</v>
      </c>
      <c r="D37" s="57">
        <v>41</v>
      </c>
      <c r="F37">
        <f>F36*4</f>
        <v>281600</v>
      </c>
      <c r="G37">
        <f>G36*4</f>
        <v>285600</v>
      </c>
      <c r="H37">
        <f>H36*4</f>
        <v>284000</v>
      </c>
      <c r="I37">
        <f>I36*4</f>
        <v>232000</v>
      </c>
      <c r="J37">
        <f>J36*4</f>
        <v>228800</v>
      </c>
    </row>
    <row r="38" spans="1:10" ht="16" x14ac:dyDescent="0.2">
      <c r="A38" s="2" t="s">
        <v>219</v>
      </c>
      <c r="B38" s="4">
        <v>3200</v>
      </c>
      <c r="C38" s="58">
        <v>95</v>
      </c>
      <c r="D38" s="57">
        <v>38</v>
      </c>
      <c r="F38">
        <f>F37*8*373/1000000</f>
        <v>840.2944</v>
      </c>
      <c r="G38">
        <f>G37*8*84/1000000</f>
        <v>191.92320000000001</v>
      </c>
      <c r="H38">
        <f>H37*8*532/1000000</f>
        <v>1208.704</v>
      </c>
      <c r="I38">
        <f>I37*8*1420/1000000</f>
        <v>2635.52</v>
      </c>
      <c r="J38">
        <f>J37*8*1420/1000000</f>
        <v>2599.1680000000001</v>
      </c>
    </row>
    <row r="39" spans="1:10" ht="16" x14ac:dyDescent="0.2">
      <c r="A39" s="22" t="s">
        <v>220</v>
      </c>
      <c r="B39" s="15">
        <v>2700</v>
      </c>
      <c r="C39" s="15">
        <v>96</v>
      </c>
      <c r="D39" s="57">
        <v>69</v>
      </c>
    </row>
    <row r="40" spans="1:10" ht="16" x14ac:dyDescent="0.2">
      <c r="A40" s="22" t="s">
        <v>221</v>
      </c>
      <c r="B40" s="45">
        <v>1050</v>
      </c>
      <c r="C40" s="15">
        <v>92</v>
      </c>
      <c r="D40" s="57">
        <v>45</v>
      </c>
      <c r="F40">
        <v>280000</v>
      </c>
    </row>
    <row r="41" spans="1:10" ht="16" x14ac:dyDescent="0.2">
      <c r="A41" s="2" t="s">
        <v>222</v>
      </c>
      <c r="B41" s="4">
        <v>1810</v>
      </c>
      <c r="C41" s="4">
        <v>93</v>
      </c>
      <c r="D41" s="57">
        <v>68</v>
      </c>
      <c r="F41">
        <f>F40*8*373/1000000</f>
        <v>835.52</v>
      </c>
    </row>
    <row r="42" spans="1:10" ht="16" x14ac:dyDescent="0.2">
      <c r="A42" s="2" t="s">
        <v>223</v>
      </c>
      <c r="B42" s="1">
        <v>460</v>
      </c>
      <c r="C42" s="4">
        <v>93</v>
      </c>
      <c r="D42" s="57">
        <v>79</v>
      </c>
      <c r="F42">
        <v>315000</v>
      </c>
    </row>
    <row r="43" spans="1:10" ht="16" x14ac:dyDescent="0.2">
      <c r="A43" s="2" t="s">
        <v>224</v>
      </c>
      <c r="B43" s="4">
        <v>205</v>
      </c>
      <c r="C43" s="4">
        <v>90</v>
      </c>
      <c r="D43" s="57">
        <v>81</v>
      </c>
      <c r="F43">
        <f>F42*8*373/1000000</f>
        <v>939.96</v>
      </c>
    </row>
    <row r="44" spans="1:10" ht="18" customHeight="1" x14ac:dyDescent="0.25">
      <c r="A44" s="29" t="s">
        <v>225</v>
      </c>
      <c r="B44" s="12" t="s">
        <v>336</v>
      </c>
      <c r="C44" s="40" t="s">
        <v>151</v>
      </c>
      <c r="D44" s="40" t="s">
        <v>207</v>
      </c>
    </row>
    <row r="45" spans="1:10" ht="18.5" customHeight="1" x14ac:dyDescent="0.2">
      <c r="A45" s="13" t="s">
        <v>226</v>
      </c>
      <c r="B45" s="33" t="s">
        <v>350</v>
      </c>
      <c r="C45" s="24">
        <v>98</v>
      </c>
      <c r="D45" s="57" t="s">
        <v>228</v>
      </c>
    </row>
    <row r="46" spans="1:10" ht="17.5" customHeight="1" x14ac:dyDescent="0.2">
      <c r="A46" s="13" t="s">
        <v>229</v>
      </c>
      <c r="B46" s="49" t="s">
        <v>351</v>
      </c>
      <c r="C46" s="24">
        <v>98</v>
      </c>
      <c r="D46" s="57" t="s">
        <v>228</v>
      </c>
    </row>
    <row r="47" spans="1:10" ht="16" x14ac:dyDescent="0.2">
      <c r="A47" s="8" t="s">
        <v>231</v>
      </c>
      <c r="B47" s="23" t="s">
        <v>352</v>
      </c>
      <c r="C47" s="56">
        <v>96</v>
      </c>
      <c r="D47" s="57" t="s">
        <v>228</v>
      </c>
    </row>
    <row r="48" spans="1:10" ht="16" x14ac:dyDescent="0.2">
      <c r="A48" s="2" t="s">
        <v>233</v>
      </c>
      <c r="B48" s="49" t="s">
        <v>353</v>
      </c>
      <c r="C48" s="56">
        <v>96</v>
      </c>
      <c r="D48" s="57" t="s">
        <v>235</v>
      </c>
    </row>
    <row r="49" spans="1:4" ht="16" x14ac:dyDescent="0.2">
      <c r="A49" s="2" t="s">
        <v>236</v>
      </c>
      <c r="B49" s="4" t="s">
        <v>354</v>
      </c>
      <c r="C49" s="23">
        <v>50</v>
      </c>
      <c r="D49" s="57"/>
    </row>
    <row r="50" spans="1:4" ht="16" x14ac:dyDescent="0.2">
      <c r="A50" s="8" t="s">
        <v>238</v>
      </c>
      <c r="B50" s="23" t="s">
        <v>355</v>
      </c>
      <c r="C50" s="54">
        <v>98</v>
      </c>
      <c r="D50" s="57" t="s">
        <v>228</v>
      </c>
    </row>
    <row r="51" spans="1:4" ht="16.25" customHeight="1" x14ac:dyDescent="0.2">
      <c r="A51" s="8" t="s">
        <v>240</v>
      </c>
      <c r="B51" s="32" t="s">
        <v>356</v>
      </c>
      <c r="C51" s="56">
        <v>98</v>
      </c>
      <c r="D51" s="57" t="s">
        <v>228</v>
      </c>
    </row>
    <row r="52" spans="1:4" ht="15.5" customHeight="1" x14ac:dyDescent="0.2">
      <c r="A52" s="8" t="s">
        <v>242</v>
      </c>
      <c r="B52" s="1" t="s">
        <v>357</v>
      </c>
      <c r="C52" s="56">
        <v>99</v>
      </c>
      <c r="D52" s="57" t="s">
        <v>228</v>
      </c>
    </row>
    <row r="53" spans="1:4" ht="16.25" customHeight="1" x14ac:dyDescent="0.2">
      <c r="A53" s="8" t="s">
        <v>244</v>
      </c>
      <c r="B53" s="31" t="s">
        <v>358</v>
      </c>
      <c r="C53" s="63">
        <v>99</v>
      </c>
      <c r="D53" s="57" t="s">
        <v>228</v>
      </c>
    </row>
    <row r="54" spans="1:4" ht="16" x14ac:dyDescent="0.2">
      <c r="A54" s="18" t="s">
        <v>246</v>
      </c>
      <c r="B54" s="23" t="s">
        <v>359</v>
      </c>
      <c r="C54" s="64">
        <v>98</v>
      </c>
      <c r="D54" s="57" t="s">
        <v>248</v>
      </c>
    </row>
    <row r="55" spans="1:4" ht="16" x14ac:dyDescent="0.2">
      <c r="A55" s="19" t="s">
        <v>249</v>
      </c>
      <c r="B55" s="23" t="s">
        <v>360</v>
      </c>
      <c r="C55" s="64">
        <v>98</v>
      </c>
      <c r="D55" s="57" t="s">
        <v>251</v>
      </c>
    </row>
    <row r="56" spans="1:4" ht="17" customHeight="1" x14ac:dyDescent="0.2">
      <c r="A56" s="19" t="s">
        <v>252</v>
      </c>
      <c r="B56" s="23" t="s">
        <v>361</v>
      </c>
      <c r="C56" s="64">
        <v>96</v>
      </c>
      <c r="D56" s="57" t="s">
        <v>254</v>
      </c>
    </row>
    <row r="57" spans="1:4" ht="16" x14ac:dyDescent="0.2">
      <c r="A57" s="9" t="s">
        <v>255</v>
      </c>
      <c r="B57" s="25" t="s">
        <v>362</v>
      </c>
      <c r="C57" s="56">
        <v>96</v>
      </c>
      <c r="D57" s="57" t="s">
        <v>228</v>
      </c>
    </row>
    <row r="58" spans="1:4" ht="17.25" customHeight="1" x14ac:dyDescent="0.2">
      <c r="A58" s="2" t="s">
        <v>257</v>
      </c>
      <c r="B58" s="23" t="s">
        <v>363</v>
      </c>
      <c r="C58" s="54">
        <v>78</v>
      </c>
      <c r="D58" s="57" t="s">
        <v>259</v>
      </c>
    </row>
    <row r="59" spans="1:4" ht="16" x14ac:dyDescent="0.2">
      <c r="A59" s="2" t="s">
        <v>260</v>
      </c>
      <c r="B59" s="23" t="s">
        <v>364</v>
      </c>
      <c r="C59" s="56">
        <v>77</v>
      </c>
      <c r="D59" s="57" t="s">
        <v>259</v>
      </c>
    </row>
    <row r="60" spans="1:4" ht="19.5" customHeight="1" x14ac:dyDescent="0.2">
      <c r="A60" s="2" t="s">
        <v>262</v>
      </c>
      <c r="B60" s="23" t="s">
        <v>365</v>
      </c>
      <c r="C60" s="56">
        <v>79</v>
      </c>
      <c r="D60" s="57" t="s">
        <v>259</v>
      </c>
    </row>
    <row r="61" spans="1:4" ht="18.75" customHeight="1" x14ac:dyDescent="0.2">
      <c r="A61" s="2" t="s">
        <v>264</v>
      </c>
      <c r="B61" s="23" t="s">
        <v>366</v>
      </c>
      <c r="C61" s="56">
        <v>72</v>
      </c>
      <c r="D61" s="57" t="s">
        <v>259</v>
      </c>
    </row>
    <row r="62" spans="1:4" ht="17.5" customHeight="1" x14ac:dyDescent="0.2">
      <c r="A62" s="2" t="s">
        <v>266</v>
      </c>
      <c r="B62" s="32" t="s">
        <v>367</v>
      </c>
      <c r="C62" s="56">
        <v>88</v>
      </c>
      <c r="D62" s="57" t="s">
        <v>268</v>
      </c>
    </row>
    <row r="63" spans="1:4" ht="18" customHeight="1" x14ac:dyDescent="0.2">
      <c r="A63" s="2" t="s">
        <v>269</v>
      </c>
      <c r="B63" s="23" t="s">
        <v>368</v>
      </c>
      <c r="C63" s="56">
        <v>50</v>
      </c>
      <c r="D63" s="57"/>
    </row>
    <row r="64" spans="1:4" ht="18" customHeight="1" x14ac:dyDescent="0.2">
      <c r="A64" s="2" t="s">
        <v>271</v>
      </c>
      <c r="B64" s="52" t="s">
        <v>369</v>
      </c>
      <c r="C64" s="56">
        <v>79</v>
      </c>
      <c r="D64" s="57" t="s">
        <v>273</v>
      </c>
    </row>
    <row r="65" spans="1:9" ht="32.25" customHeight="1" x14ac:dyDescent="0.2">
      <c r="A65" s="3" t="s">
        <v>274</v>
      </c>
      <c r="B65" s="51" t="s">
        <v>370</v>
      </c>
      <c r="C65" s="56"/>
      <c r="D65" s="57"/>
    </row>
    <row r="66" spans="1:9" ht="18" customHeight="1" x14ac:dyDescent="0.25">
      <c r="A66" s="28" t="s">
        <v>276</v>
      </c>
      <c r="B66" s="30" t="s">
        <v>277</v>
      </c>
      <c r="C66" s="65" t="s">
        <v>151</v>
      </c>
      <c r="D66" s="65" t="s">
        <v>371</v>
      </c>
    </row>
    <row r="67" spans="1:9" ht="16" x14ac:dyDescent="0.2">
      <c r="A67" s="2" t="s">
        <v>278</v>
      </c>
      <c r="B67" s="10">
        <v>64</v>
      </c>
      <c r="C67" s="56">
        <v>10</v>
      </c>
      <c r="D67" s="56">
        <v>75</v>
      </c>
    </row>
    <row r="68" spans="1:9" ht="16" x14ac:dyDescent="0.2">
      <c r="A68" s="2" t="s">
        <v>279</v>
      </c>
      <c r="B68" s="10">
        <v>2000</v>
      </c>
      <c r="C68" s="56">
        <v>10</v>
      </c>
      <c r="D68" s="56">
        <v>76</v>
      </c>
      <c r="G68">
        <v>123657512</v>
      </c>
      <c r="H68">
        <f>G68/1000</f>
        <v>123657.512</v>
      </c>
      <c r="I68">
        <f>H68/1000000</f>
        <v>0.123657512</v>
      </c>
    </row>
    <row r="69" spans="1:9" ht="16" x14ac:dyDescent="0.2">
      <c r="A69" s="2" t="s">
        <v>280</v>
      </c>
      <c r="B69" s="10"/>
      <c r="C69" s="56"/>
      <c r="D69" s="56"/>
    </row>
    <row r="70" spans="1:9" ht="16" x14ac:dyDescent="0.2">
      <c r="A70" s="2" t="s">
        <v>281</v>
      </c>
      <c r="B70" s="10">
        <v>64</v>
      </c>
      <c r="C70" s="56">
        <v>10</v>
      </c>
      <c r="D70" s="56">
        <v>76</v>
      </c>
    </row>
    <row r="71" spans="1:9" ht="16" x14ac:dyDescent="0.2">
      <c r="A71" s="2" t="s">
        <v>282</v>
      </c>
      <c r="B71" s="10">
        <v>2000</v>
      </c>
      <c r="C71" s="56">
        <v>10</v>
      </c>
      <c r="D71" s="56">
        <v>76</v>
      </c>
    </row>
    <row r="72" spans="1:9" ht="16" x14ac:dyDescent="0.2">
      <c r="A72" s="2" t="s">
        <v>283</v>
      </c>
      <c r="B72" s="10">
        <v>1536</v>
      </c>
      <c r="C72" s="56">
        <v>20</v>
      </c>
      <c r="D72" s="56">
        <v>77</v>
      </c>
    </row>
    <row r="73" spans="1:9" ht="16" x14ac:dyDescent="0.2">
      <c r="A73" s="2" t="s">
        <v>284</v>
      </c>
      <c r="B73" s="10">
        <v>48</v>
      </c>
      <c r="C73" s="56">
        <v>10</v>
      </c>
      <c r="D73" s="56">
        <v>77</v>
      </c>
    </row>
    <row r="74" spans="1:9" ht="16" x14ac:dyDescent="0.2">
      <c r="A74" s="2" t="s">
        <v>286</v>
      </c>
      <c r="B74" s="10">
        <v>1280</v>
      </c>
      <c r="C74" s="56">
        <v>10</v>
      </c>
      <c r="D74" s="56">
        <v>76</v>
      </c>
    </row>
    <row r="75" spans="1:9" ht="16" x14ac:dyDescent="0.2">
      <c r="A75" s="2" t="s">
        <v>287</v>
      </c>
      <c r="B75" s="10">
        <v>2000</v>
      </c>
      <c r="C75" s="56">
        <v>10</v>
      </c>
      <c r="D75" s="56">
        <v>76</v>
      </c>
    </row>
    <row r="76" spans="1:9" ht="16" x14ac:dyDescent="0.2">
      <c r="A76" s="2" t="s">
        <v>288</v>
      </c>
      <c r="B76" s="66">
        <v>1024</v>
      </c>
      <c r="C76" s="56">
        <v>10</v>
      </c>
      <c r="D76" s="56">
        <v>77</v>
      </c>
    </row>
    <row r="77" spans="1:9" ht="16" x14ac:dyDescent="0.2">
      <c r="A77" s="2" t="s">
        <v>289</v>
      </c>
      <c r="B77" s="10">
        <v>1536</v>
      </c>
      <c r="C77" s="56">
        <v>10</v>
      </c>
      <c r="D77" s="56">
        <v>77</v>
      </c>
    </row>
    <row r="78" spans="1:9" ht="16" x14ac:dyDescent="0.2">
      <c r="A78" s="2" t="s">
        <v>290</v>
      </c>
      <c r="B78" s="10">
        <v>1536</v>
      </c>
      <c r="C78" s="56">
        <v>10</v>
      </c>
      <c r="D78" s="56">
        <v>77</v>
      </c>
    </row>
    <row r="79" spans="1:9" ht="16" x14ac:dyDescent="0.2">
      <c r="A79" s="2" t="s">
        <v>291</v>
      </c>
      <c r="B79" s="10">
        <v>256</v>
      </c>
      <c r="C79" s="56"/>
      <c r="D79" s="56"/>
    </row>
    <row r="80" spans="1:9" ht="16" x14ac:dyDescent="0.2">
      <c r="A80" s="2" t="s">
        <v>292</v>
      </c>
      <c r="B80" s="32">
        <v>2000</v>
      </c>
      <c r="C80" s="56"/>
      <c r="D80" s="56"/>
    </row>
    <row r="81" spans="1:4" ht="16" x14ac:dyDescent="0.2">
      <c r="A81" s="2" t="s">
        <v>293</v>
      </c>
      <c r="B81" s="23"/>
      <c r="C81" s="56"/>
      <c r="D81" s="56"/>
    </row>
    <row r="82" spans="1:4" ht="16" x14ac:dyDescent="0.2">
      <c r="A82" s="2" t="s">
        <v>294</v>
      </c>
      <c r="B82" s="10"/>
      <c r="C82" s="56"/>
      <c r="D82" s="56"/>
    </row>
    <row r="83" spans="1:4" ht="16" x14ac:dyDescent="0.2">
      <c r="A83" s="2" t="s">
        <v>295</v>
      </c>
      <c r="B83" s="10">
        <v>128</v>
      </c>
      <c r="C83" s="56">
        <v>10</v>
      </c>
      <c r="D83" s="56">
        <v>96</v>
      </c>
    </row>
    <row r="84" spans="1:4" ht="16" x14ac:dyDescent="0.2">
      <c r="A84" s="2" t="s">
        <v>296</v>
      </c>
      <c r="B84" s="10" t="s">
        <v>372</v>
      </c>
      <c r="C84" s="10">
        <v>10</v>
      </c>
      <c r="D84" s="10">
        <v>84</v>
      </c>
    </row>
    <row r="85" spans="1:4" ht="16" x14ac:dyDescent="0.2">
      <c r="A85" s="2" t="s">
        <v>298</v>
      </c>
      <c r="B85" s="10" t="s">
        <v>373</v>
      </c>
      <c r="C85" s="10">
        <v>10</v>
      </c>
      <c r="D85" s="10">
        <v>84</v>
      </c>
    </row>
    <row r="86" spans="1:4" ht="16" x14ac:dyDescent="0.2">
      <c r="A86" s="2" t="s">
        <v>300</v>
      </c>
      <c r="B86" s="10"/>
      <c r="C86" s="56"/>
      <c r="D86" s="56"/>
    </row>
    <row r="87" spans="1:4" ht="16" x14ac:dyDescent="0.2">
      <c r="A87" s="2" t="s">
        <v>301</v>
      </c>
      <c r="B87" s="10"/>
      <c r="C87" s="56"/>
      <c r="D87" s="56"/>
    </row>
    <row r="88" spans="1:4" ht="16" x14ac:dyDescent="0.2">
      <c r="A88" s="2" t="s">
        <v>302</v>
      </c>
      <c r="B88" s="10"/>
      <c r="C88" s="56"/>
      <c r="D88" s="56"/>
    </row>
    <row r="89" spans="1:4" ht="16" x14ac:dyDescent="0.2">
      <c r="A89" s="2" t="s">
        <v>303</v>
      </c>
      <c r="B89" s="10">
        <v>96000</v>
      </c>
      <c r="C89" s="56">
        <v>50</v>
      </c>
      <c r="D89" s="56">
        <v>35</v>
      </c>
    </row>
    <row r="90" spans="1:4" ht="16" x14ac:dyDescent="0.2">
      <c r="A90" s="2" t="s">
        <v>304</v>
      </c>
      <c r="B90" s="10">
        <v>96000</v>
      </c>
      <c r="C90" s="56">
        <v>55</v>
      </c>
      <c r="D90" s="56">
        <v>35</v>
      </c>
    </row>
    <row r="91" spans="1:4" ht="16" x14ac:dyDescent="0.2">
      <c r="A91" s="2" t="s">
        <v>305</v>
      </c>
      <c r="B91" s="51">
        <v>96000</v>
      </c>
      <c r="C91" s="56"/>
      <c r="D91" s="56">
        <v>41</v>
      </c>
    </row>
    <row r="92" spans="1:4" ht="16" x14ac:dyDescent="0.2">
      <c r="A92" s="2" t="s">
        <v>374</v>
      </c>
      <c r="B92" s="26">
        <v>48000</v>
      </c>
      <c r="C92" s="55"/>
      <c r="D92" s="56">
        <v>41</v>
      </c>
    </row>
    <row r="93" spans="1:4" ht="16" x14ac:dyDescent="0.2">
      <c r="A93" s="2" t="s">
        <v>375</v>
      </c>
      <c r="B93" s="26">
        <v>48000</v>
      </c>
      <c r="C93" s="55"/>
      <c r="D93" s="56">
        <v>41</v>
      </c>
    </row>
    <row r="94" spans="1:4" ht="16" x14ac:dyDescent="0.2">
      <c r="A94" s="8" t="s">
        <v>308</v>
      </c>
      <c r="B94" s="35">
        <v>8000</v>
      </c>
      <c r="C94" s="10">
        <v>99</v>
      </c>
      <c r="D94" s="56">
        <v>41</v>
      </c>
    </row>
    <row r="95" spans="1:4" ht="16" x14ac:dyDescent="0.2">
      <c r="A95" s="2" t="s">
        <v>309</v>
      </c>
      <c r="B95" s="68">
        <v>26000</v>
      </c>
      <c r="C95" s="66"/>
      <c r="D95" s="66" t="s">
        <v>310</v>
      </c>
    </row>
    <row r="96" spans="1:4" ht="16" x14ac:dyDescent="0.2">
      <c r="A96" s="2" t="s">
        <v>311</v>
      </c>
      <c r="B96" s="10">
        <v>1200</v>
      </c>
      <c r="C96" s="10">
        <v>97</v>
      </c>
      <c r="D96" s="56">
        <v>55</v>
      </c>
    </row>
    <row r="97" spans="1:9" ht="16" x14ac:dyDescent="0.2">
      <c r="A97" s="2" t="s">
        <v>312</v>
      </c>
      <c r="B97" s="10">
        <v>500</v>
      </c>
      <c r="C97" s="10">
        <v>99</v>
      </c>
      <c r="D97" s="56">
        <v>41</v>
      </c>
    </row>
    <row r="98" spans="1:9" ht="16" x14ac:dyDescent="0.2">
      <c r="A98" s="2" t="s">
        <v>313</v>
      </c>
      <c r="B98" s="10" t="s">
        <v>376</v>
      </c>
      <c r="C98" s="10"/>
      <c r="D98" s="56"/>
    </row>
    <row r="99" spans="1:9" ht="16" x14ac:dyDescent="0.2">
      <c r="A99" s="2" t="s">
        <v>316</v>
      </c>
      <c r="B99" s="10" t="s">
        <v>377</v>
      </c>
      <c r="C99" s="10"/>
      <c r="D99" s="56"/>
    </row>
    <row r="100" spans="1:9" ht="16" x14ac:dyDescent="0.2">
      <c r="A100" s="2" t="s">
        <v>318</v>
      </c>
      <c r="B100" s="10">
        <v>10</v>
      </c>
      <c r="C100" s="10"/>
      <c r="D100" s="56"/>
    </row>
    <row r="101" spans="1:9" ht="15" customHeight="1" x14ac:dyDescent="0.2">
      <c r="H101" s="11"/>
      <c r="I101" s="11"/>
    </row>
    <row r="102" spans="1:9" ht="15" customHeight="1" x14ac:dyDescent="0.2">
      <c r="H102" s="11"/>
      <c r="I102" s="11"/>
    </row>
    <row r="103" spans="1:9" ht="15" customHeight="1" x14ac:dyDescent="0.2">
      <c r="H103" s="11"/>
      <c r="I103" s="11"/>
    </row>
    <row r="104" spans="1:9" ht="15" customHeight="1" x14ac:dyDescent="0.2">
      <c r="H104" s="11"/>
      <c r="I104" s="11"/>
    </row>
  </sheetData>
  <autoFilter ref="A1:F100" xr:uid="{63A7BD36-8D88-3742-A4AC-48B0AFB67141}"/>
  <mergeCells count="1">
    <mergeCell ref="B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F4FD9-0BA8-D443-A42F-4E5E606C52A0}">
  <dimension ref="A1:I77"/>
  <sheetViews>
    <sheetView topLeftCell="A48" zoomScale="75" workbookViewId="0">
      <selection activeCell="E83" sqref="E83"/>
    </sheetView>
  </sheetViews>
  <sheetFormatPr baseColWidth="10" defaultColWidth="62.5" defaultRowHeight="24" x14ac:dyDescent="0.3"/>
  <cols>
    <col min="1" max="1" width="162.5" style="77" customWidth="1"/>
    <col min="2" max="2" width="40.33203125" style="77" customWidth="1"/>
    <col min="3" max="3" width="29.1640625" style="77" customWidth="1"/>
    <col min="4" max="4" width="26" style="77" customWidth="1"/>
    <col min="5" max="5" width="47.6640625" style="77" customWidth="1"/>
    <col min="6" max="6" width="26.5" style="77" customWidth="1"/>
    <col min="7" max="7" width="33.83203125" style="77" customWidth="1"/>
    <col min="8" max="16384" width="62.5" style="77"/>
  </cols>
  <sheetData>
    <row r="1" spans="1:7" ht="75" x14ac:dyDescent="0.3">
      <c r="A1" s="75" t="s">
        <v>378</v>
      </c>
      <c r="B1" s="103" t="s">
        <v>147</v>
      </c>
      <c r="C1" s="104"/>
      <c r="D1" s="76" t="s">
        <v>148</v>
      </c>
      <c r="E1" s="103" t="s">
        <v>320</v>
      </c>
      <c r="F1" s="104"/>
      <c r="G1" s="76" t="s">
        <v>148</v>
      </c>
    </row>
    <row r="2" spans="1:7" ht="50" x14ac:dyDescent="0.3">
      <c r="A2" s="78" t="s">
        <v>379</v>
      </c>
      <c r="B2" s="79" t="s">
        <v>336</v>
      </c>
      <c r="C2" s="80" t="s">
        <v>151</v>
      </c>
      <c r="D2" s="79" t="s">
        <v>380</v>
      </c>
      <c r="E2" s="79" t="s">
        <v>150</v>
      </c>
      <c r="F2" s="80" t="s">
        <v>151</v>
      </c>
      <c r="G2" s="80" t="s">
        <v>152</v>
      </c>
    </row>
    <row r="3" spans="1:7" ht="25" x14ac:dyDescent="0.3">
      <c r="A3" s="81" t="s">
        <v>381</v>
      </c>
      <c r="B3" s="82" t="s">
        <v>382</v>
      </c>
      <c r="C3" s="83">
        <v>94</v>
      </c>
      <c r="D3" s="84">
        <v>40</v>
      </c>
      <c r="E3" s="82" t="s">
        <v>383</v>
      </c>
      <c r="F3" s="83">
        <v>93</v>
      </c>
      <c r="G3" s="84">
        <v>59</v>
      </c>
    </row>
    <row r="4" spans="1:7" ht="25" x14ac:dyDescent="0.3">
      <c r="A4" s="81" t="s">
        <v>384</v>
      </c>
      <c r="B4" s="84" t="s">
        <v>385</v>
      </c>
      <c r="C4" s="85">
        <v>95</v>
      </c>
      <c r="D4" s="86">
        <v>40</v>
      </c>
      <c r="E4" s="84" t="s">
        <v>386</v>
      </c>
      <c r="F4" s="85">
        <v>94</v>
      </c>
      <c r="G4" s="86">
        <v>59</v>
      </c>
    </row>
    <row r="5" spans="1:7" ht="25" x14ac:dyDescent="0.3">
      <c r="A5" s="81" t="s">
        <v>387</v>
      </c>
      <c r="B5" s="87" t="s">
        <v>188</v>
      </c>
      <c r="C5" s="88">
        <v>94</v>
      </c>
      <c r="D5" s="89">
        <v>60</v>
      </c>
      <c r="E5" s="87" t="s">
        <v>388</v>
      </c>
      <c r="F5" s="88">
        <v>91</v>
      </c>
      <c r="G5" s="89">
        <v>59</v>
      </c>
    </row>
    <row r="6" spans="1:7" ht="25" x14ac:dyDescent="0.3">
      <c r="A6" s="90" t="s">
        <v>226</v>
      </c>
      <c r="B6" s="84" t="s">
        <v>227</v>
      </c>
      <c r="C6" s="91">
        <v>99</v>
      </c>
      <c r="D6" s="92" t="s">
        <v>228</v>
      </c>
      <c r="E6" s="84" t="s">
        <v>350</v>
      </c>
      <c r="F6" s="84">
        <v>98</v>
      </c>
      <c r="G6" s="92" t="s">
        <v>228</v>
      </c>
    </row>
    <row r="7" spans="1:7" ht="25" x14ac:dyDescent="0.3">
      <c r="A7" s="90" t="s">
        <v>229</v>
      </c>
      <c r="B7" s="84" t="s">
        <v>230</v>
      </c>
      <c r="C7" s="93">
        <v>99</v>
      </c>
      <c r="D7" s="92" t="s">
        <v>228</v>
      </c>
      <c r="E7" s="84" t="s">
        <v>351</v>
      </c>
      <c r="F7" s="84">
        <v>98</v>
      </c>
      <c r="G7" s="92" t="s">
        <v>228</v>
      </c>
    </row>
    <row r="8" spans="1:7" ht="25" x14ac:dyDescent="0.3">
      <c r="A8" s="94" t="s">
        <v>231</v>
      </c>
      <c r="B8" s="87" t="s">
        <v>232</v>
      </c>
      <c r="C8" s="88">
        <v>90</v>
      </c>
      <c r="D8" s="89" t="s">
        <v>228</v>
      </c>
      <c r="E8" s="84" t="s">
        <v>352</v>
      </c>
      <c r="F8" s="84">
        <v>96</v>
      </c>
      <c r="G8" s="89" t="s">
        <v>228</v>
      </c>
    </row>
    <row r="9" spans="1:7" ht="28.5" customHeight="1" x14ac:dyDescent="0.3">
      <c r="A9" s="81" t="s">
        <v>260</v>
      </c>
      <c r="B9" s="84"/>
      <c r="C9" s="88"/>
      <c r="D9" s="95" t="s">
        <v>389</v>
      </c>
      <c r="E9" s="84"/>
      <c r="F9" s="88"/>
      <c r="G9" s="95" t="s">
        <v>389</v>
      </c>
    </row>
    <row r="12" spans="1:7" ht="75" x14ac:dyDescent="0.3">
      <c r="A12" s="75" t="s">
        <v>390</v>
      </c>
      <c r="B12" s="103" t="s">
        <v>147</v>
      </c>
      <c r="C12" s="104"/>
      <c r="D12" s="76" t="s">
        <v>148</v>
      </c>
      <c r="E12" s="103" t="s">
        <v>320</v>
      </c>
      <c r="F12" s="104"/>
      <c r="G12" s="76" t="s">
        <v>148</v>
      </c>
    </row>
    <row r="13" spans="1:7" ht="50" x14ac:dyDescent="0.3">
      <c r="A13" s="78" t="s">
        <v>379</v>
      </c>
      <c r="B13" s="79" t="s">
        <v>336</v>
      </c>
      <c r="C13" s="80" t="s">
        <v>151</v>
      </c>
      <c r="D13" s="79" t="s">
        <v>380</v>
      </c>
      <c r="E13" s="79" t="s">
        <v>150</v>
      </c>
      <c r="F13" s="80" t="s">
        <v>151</v>
      </c>
      <c r="G13" s="80" t="s">
        <v>152</v>
      </c>
    </row>
    <row r="14" spans="1:7" ht="25" x14ac:dyDescent="0.3">
      <c r="A14" s="81" t="s">
        <v>381</v>
      </c>
      <c r="B14" s="82" t="s">
        <v>391</v>
      </c>
      <c r="C14" s="83">
        <v>95</v>
      </c>
      <c r="D14" s="84">
        <v>61</v>
      </c>
      <c r="E14" s="82" t="s">
        <v>383</v>
      </c>
      <c r="F14" s="83">
        <v>93</v>
      </c>
      <c r="G14" s="84">
        <v>59</v>
      </c>
    </row>
    <row r="15" spans="1:7" ht="25" x14ac:dyDescent="0.3">
      <c r="A15" s="81" t="s">
        <v>384</v>
      </c>
      <c r="B15" s="84" t="s">
        <v>385</v>
      </c>
      <c r="C15" s="85">
        <v>95</v>
      </c>
      <c r="D15" s="86">
        <v>61</v>
      </c>
      <c r="E15" s="84" t="s">
        <v>386</v>
      </c>
      <c r="F15" s="85">
        <v>94</v>
      </c>
      <c r="G15" s="86">
        <v>59</v>
      </c>
    </row>
    <row r="16" spans="1:7" ht="25" x14ac:dyDescent="0.3">
      <c r="A16" s="81" t="s">
        <v>387</v>
      </c>
      <c r="B16" s="87" t="s">
        <v>188</v>
      </c>
      <c r="C16" s="88">
        <v>94</v>
      </c>
      <c r="D16" s="89">
        <v>60</v>
      </c>
      <c r="E16" s="87" t="s">
        <v>392</v>
      </c>
      <c r="F16" s="88">
        <v>91</v>
      </c>
      <c r="G16" s="89">
        <v>59</v>
      </c>
    </row>
    <row r="17" spans="1:9" ht="25" x14ac:dyDescent="0.3">
      <c r="A17" s="90" t="s">
        <v>226</v>
      </c>
      <c r="B17" s="84" t="s">
        <v>227</v>
      </c>
      <c r="C17" s="91">
        <v>99</v>
      </c>
      <c r="D17" s="92" t="s">
        <v>228</v>
      </c>
      <c r="E17" s="84" t="s">
        <v>350</v>
      </c>
      <c r="F17" s="84">
        <v>98</v>
      </c>
      <c r="G17" s="92" t="s">
        <v>228</v>
      </c>
    </row>
    <row r="18" spans="1:9" ht="25" x14ac:dyDescent="0.3">
      <c r="A18" s="90" t="s">
        <v>229</v>
      </c>
      <c r="B18" s="84" t="s">
        <v>230</v>
      </c>
      <c r="C18" s="93">
        <v>99</v>
      </c>
      <c r="D18" s="92" t="s">
        <v>228</v>
      </c>
      <c r="E18" s="84" t="s">
        <v>351</v>
      </c>
      <c r="F18" s="84">
        <v>98</v>
      </c>
      <c r="G18" s="92" t="s">
        <v>228</v>
      </c>
    </row>
    <row r="19" spans="1:9" ht="25" x14ac:dyDescent="0.3">
      <c r="A19" s="94" t="s">
        <v>231</v>
      </c>
      <c r="B19" s="87" t="s">
        <v>232</v>
      </c>
      <c r="C19" s="88">
        <v>90</v>
      </c>
      <c r="D19" s="89" t="s">
        <v>228</v>
      </c>
      <c r="E19" s="84" t="s">
        <v>352</v>
      </c>
      <c r="F19" s="84">
        <v>96</v>
      </c>
      <c r="G19" s="89" t="s">
        <v>228</v>
      </c>
    </row>
    <row r="20" spans="1:9" ht="25" x14ac:dyDescent="0.3">
      <c r="A20" s="81" t="s">
        <v>260</v>
      </c>
      <c r="B20" s="84"/>
      <c r="C20" s="88"/>
      <c r="D20" s="95" t="s">
        <v>389</v>
      </c>
      <c r="E20" s="84"/>
      <c r="F20" s="88"/>
      <c r="G20" s="95" t="s">
        <v>389</v>
      </c>
    </row>
    <row r="23" spans="1:9" ht="75" x14ac:dyDescent="0.3">
      <c r="A23" s="96" t="s">
        <v>393</v>
      </c>
      <c r="B23" s="103" t="s">
        <v>147</v>
      </c>
      <c r="C23" s="104"/>
      <c r="D23" s="76" t="s">
        <v>148</v>
      </c>
      <c r="E23" s="103" t="s">
        <v>320</v>
      </c>
      <c r="F23" s="104"/>
      <c r="G23" s="76" t="s">
        <v>148</v>
      </c>
    </row>
    <row r="24" spans="1:9" ht="50" x14ac:dyDescent="0.3">
      <c r="A24" s="78" t="s">
        <v>379</v>
      </c>
      <c r="B24" s="79" t="s">
        <v>336</v>
      </c>
      <c r="C24" s="80" t="s">
        <v>151</v>
      </c>
      <c r="D24" s="79" t="s">
        <v>380</v>
      </c>
      <c r="E24" s="79" t="s">
        <v>336</v>
      </c>
      <c r="F24" s="80" t="s">
        <v>151</v>
      </c>
      <c r="G24" s="79" t="s">
        <v>380</v>
      </c>
      <c r="I24" s="77">
        <v>280000</v>
      </c>
    </row>
    <row r="25" spans="1:9" ht="25" x14ac:dyDescent="0.3">
      <c r="A25" s="81" t="s">
        <v>381</v>
      </c>
      <c r="B25" s="82" t="s">
        <v>394</v>
      </c>
      <c r="C25" s="83">
        <v>94</v>
      </c>
      <c r="D25" s="84">
        <v>40</v>
      </c>
      <c r="E25" s="82" t="s">
        <v>383</v>
      </c>
      <c r="F25" s="83">
        <v>93</v>
      </c>
      <c r="G25" s="84">
        <v>59</v>
      </c>
      <c r="I25" s="77">
        <f>I24*8*373/1000000</f>
        <v>835.52</v>
      </c>
    </row>
    <row r="26" spans="1:9" ht="25" x14ac:dyDescent="0.3">
      <c r="A26" s="81" t="s">
        <v>384</v>
      </c>
      <c r="B26" s="84" t="s">
        <v>385</v>
      </c>
      <c r="C26" s="85">
        <v>95</v>
      </c>
      <c r="D26" s="86">
        <v>38</v>
      </c>
      <c r="E26" s="84" t="s">
        <v>386</v>
      </c>
      <c r="F26" s="85">
        <v>94</v>
      </c>
      <c r="G26" s="86">
        <v>59</v>
      </c>
    </row>
    <row r="27" spans="1:9" ht="25" x14ac:dyDescent="0.3">
      <c r="A27" s="81" t="s">
        <v>387</v>
      </c>
      <c r="B27" s="87" t="s">
        <v>395</v>
      </c>
      <c r="C27" s="88">
        <v>75</v>
      </c>
      <c r="D27" s="89">
        <v>56</v>
      </c>
      <c r="E27" s="87" t="s">
        <v>396</v>
      </c>
      <c r="F27" s="88">
        <v>75</v>
      </c>
      <c r="G27" s="89">
        <v>59</v>
      </c>
      <c r="H27" s="77" t="s">
        <v>397</v>
      </c>
    </row>
    <row r="28" spans="1:9" ht="25" x14ac:dyDescent="0.3">
      <c r="A28" s="90" t="s">
        <v>226</v>
      </c>
      <c r="B28" s="84" t="s">
        <v>227</v>
      </c>
      <c r="C28" s="91">
        <v>99</v>
      </c>
      <c r="D28" s="92" t="s">
        <v>228</v>
      </c>
      <c r="E28" s="84" t="s">
        <v>350</v>
      </c>
      <c r="F28" s="84">
        <v>98</v>
      </c>
      <c r="G28" s="92" t="s">
        <v>228</v>
      </c>
    </row>
    <row r="29" spans="1:9" ht="25" x14ac:dyDescent="0.3">
      <c r="A29" s="90" t="s">
        <v>229</v>
      </c>
      <c r="B29" s="84" t="s">
        <v>230</v>
      </c>
      <c r="C29" s="93">
        <v>99</v>
      </c>
      <c r="D29" s="92" t="s">
        <v>228</v>
      </c>
      <c r="E29" s="84" t="s">
        <v>351</v>
      </c>
      <c r="F29" s="84">
        <v>98</v>
      </c>
      <c r="G29" s="92" t="s">
        <v>228</v>
      </c>
    </row>
    <row r="30" spans="1:9" ht="25" x14ac:dyDescent="0.3">
      <c r="A30" s="94" t="s">
        <v>231</v>
      </c>
      <c r="B30" s="87" t="s">
        <v>232</v>
      </c>
      <c r="C30" s="88">
        <v>90</v>
      </c>
      <c r="D30" s="92" t="s">
        <v>228</v>
      </c>
      <c r="E30" s="84" t="s">
        <v>352</v>
      </c>
      <c r="F30" s="84">
        <v>96</v>
      </c>
      <c r="G30" s="89" t="s">
        <v>228</v>
      </c>
    </row>
    <row r="31" spans="1:9" ht="25" x14ac:dyDescent="0.3">
      <c r="A31" s="81" t="s">
        <v>260</v>
      </c>
      <c r="B31" s="87" t="s">
        <v>261</v>
      </c>
      <c r="C31" s="87">
        <v>80</v>
      </c>
      <c r="D31" s="95" t="s">
        <v>389</v>
      </c>
      <c r="E31" s="84" t="s">
        <v>364</v>
      </c>
      <c r="F31" s="84">
        <v>77</v>
      </c>
      <c r="G31" s="95" t="s">
        <v>389</v>
      </c>
    </row>
    <row r="32" spans="1:9" ht="25" x14ac:dyDescent="0.3">
      <c r="A32" s="97" t="s">
        <v>398</v>
      </c>
      <c r="B32" s="98" t="s">
        <v>399</v>
      </c>
      <c r="C32" s="98">
        <v>75</v>
      </c>
      <c r="D32" s="98">
        <v>60</v>
      </c>
      <c r="E32" s="98" t="s">
        <v>400</v>
      </c>
      <c r="F32" s="98">
        <v>62</v>
      </c>
      <c r="G32" s="98">
        <v>60</v>
      </c>
      <c r="H32" s="77" t="s">
        <v>397</v>
      </c>
    </row>
    <row r="34" spans="1:8" ht="25" x14ac:dyDescent="0.3">
      <c r="A34" s="96" t="s">
        <v>401</v>
      </c>
      <c r="B34" s="103" t="s">
        <v>147</v>
      </c>
      <c r="C34" s="104"/>
      <c r="D34" s="76" t="s">
        <v>148</v>
      </c>
      <c r="E34" s="103" t="s">
        <v>320</v>
      </c>
      <c r="F34" s="104"/>
      <c r="G34" s="76" t="s">
        <v>148</v>
      </c>
    </row>
    <row r="35" spans="1:8" ht="50" x14ac:dyDescent="0.3">
      <c r="A35" s="78" t="s">
        <v>379</v>
      </c>
      <c r="B35" s="79" t="s">
        <v>336</v>
      </c>
      <c r="C35" s="80" t="s">
        <v>151</v>
      </c>
      <c r="D35" s="79" t="s">
        <v>380</v>
      </c>
      <c r="E35" s="79" t="s">
        <v>336</v>
      </c>
      <c r="F35" s="80" t="s">
        <v>151</v>
      </c>
      <c r="G35" s="79" t="s">
        <v>380</v>
      </c>
    </row>
    <row r="36" spans="1:8" ht="25" x14ac:dyDescent="0.3">
      <c r="A36" s="81" t="s">
        <v>381</v>
      </c>
      <c r="B36" s="82" t="s">
        <v>402</v>
      </c>
      <c r="C36" s="83">
        <v>93</v>
      </c>
      <c r="D36" s="84">
        <v>40</v>
      </c>
      <c r="E36" s="82" t="s">
        <v>403</v>
      </c>
      <c r="F36" s="83">
        <v>95</v>
      </c>
      <c r="G36" s="84">
        <v>70</v>
      </c>
    </row>
    <row r="37" spans="1:8" ht="25" x14ac:dyDescent="0.3">
      <c r="A37" s="81" t="s">
        <v>384</v>
      </c>
      <c r="B37" s="84" t="s">
        <v>404</v>
      </c>
      <c r="C37" s="85">
        <v>94</v>
      </c>
      <c r="D37" s="86">
        <v>40</v>
      </c>
      <c r="E37" s="84">
        <v>3000</v>
      </c>
      <c r="F37" s="85">
        <v>95</v>
      </c>
      <c r="G37" s="86">
        <v>40</v>
      </c>
    </row>
    <row r="38" spans="1:8" ht="25" x14ac:dyDescent="0.3">
      <c r="A38" s="81" t="s">
        <v>387</v>
      </c>
      <c r="B38" s="87" t="s">
        <v>405</v>
      </c>
      <c r="C38" s="88">
        <v>79</v>
      </c>
      <c r="D38" s="89">
        <v>62</v>
      </c>
      <c r="E38" s="87" t="s">
        <v>406</v>
      </c>
      <c r="F38" s="88">
        <v>80</v>
      </c>
      <c r="G38" s="89">
        <v>60</v>
      </c>
      <c r="H38" s="77" t="s">
        <v>397</v>
      </c>
    </row>
    <row r="39" spans="1:8" ht="25" x14ac:dyDescent="0.3">
      <c r="A39" s="90" t="s">
        <v>226</v>
      </c>
      <c r="B39" s="84" t="s">
        <v>227</v>
      </c>
      <c r="C39" s="91">
        <v>99</v>
      </c>
      <c r="D39" s="92" t="s">
        <v>228</v>
      </c>
      <c r="E39" s="84" t="s">
        <v>350</v>
      </c>
      <c r="F39" s="84">
        <v>99</v>
      </c>
      <c r="G39" s="92" t="s">
        <v>228</v>
      </c>
    </row>
    <row r="40" spans="1:8" ht="25" x14ac:dyDescent="0.3">
      <c r="A40" s="90" t="s">
        <v>229</v>
      </c>
      <c r="B40" s="84" t="s">
        <v>230</v>
      </c>
      <c r="C40" s="93">
        <v>99</v>
      </c>
      <c r="D40" s="92" t="s">
        <v>228</v>
      </c>
      <c r="E40" s="84" t="s">
        <v>351</v>
      </c>
      <c r="F40" s="84">
        <v>99</v>
      </c>
      <c r="G40" s="92" t="s">
        <v>228</v>
      </c>
    </row>
    <row r="41" spans="1:8" ht="25" x14ac:dyDescent="0.3">
      <c r="A41" s="94" t="s">
        <v>231</v>
      </c>
      <c r="B41" s="87" t="s">
        <v>232</v>
      </c>
      <c r="C41" s="88">
        <v>90</v>
      </c>
      <c r="D41" s="92" t="s">
        <v>228</v>
      </c>
      <c r="E41" s="84" t="s">
        <v>352</v>
      </c>
      <c r="F41" s="84">
        <v>96</v>
      </c>
      <c r="G41" s="89" t="s">
        <v>228</v>
      </c>
    </row>
    <row r="42" spans="1:8" ht="25" x14ac:dyDescent="0.3">
      <c r="A42" s="81" t="s">
        <v>260</v>
      </c>
      <c r="B42" s="87" t="s">
        <v>272</v>
      </c>
      <c r="C42" s="87">
        <v>80</v>
      </c>
      <c r="D42" s="95" t="s">
        <v>389</v>
      </c>
      <c r="E42" s="84" t="s">
        <v>407</v>
      </c>
      <c r="F42" s="84">
        <v>75</v>
      </c>
      <c r="G42" s="95" t="s">
        <v>389</v>
      </c>
    </row>
    <row r="43" spans="1:8" ht="25" x14ac:dyDescent="0.3">
      <c r="A43" s="97" t="s">
        <v>398</v>
      </c>
      <c r="B43" s="98" t="s">
        <v>408</v>
      </c>
      <c r="C43" s="98">
        <v>77</v>
      </c>
      <c r="D43" s="98">
        <v>68</v>
      </c>
      <c r="E43" s="98" t="s">
        <v>409</v>
      </c>
      <c r="F43" s="98">
        <v>75</v>
      </c>
      <c r="G43" s="98">
        <v>70</v>
      </c>
      <c r="H43" s="77" t="s">
        <v>397</v>
      </c>
    </row>
    <row r="45" spans="1:8" ht="25" x14ac:dyDescent="0.3">
      <c r="A45" s="96" t="s">
        <v>410</v>
      </c>
      <c r="B45" s="103" t="s">
        <v>320</v>
      </c>
      <c r="C45" s="104"/>
      <c r="D45" s="76" t="s">
        <v>148</v>
      </c>
    </row>
    <row r="46" spans="1:8" ht="50" x14ac:dyDescent="0.3">
      <c r="A46" s="78" t="s">
        <v>379</v>
      </c>
      <c r="B46" s="79" t="s">
        <v>336</v>
      </c>
      <c r="C46" s="80" t="s">
        <v>151</v>
      </c>
      <c r="D46" s="79" t="s">
        <v>380</v>
      </c>
    </row>
    <row r="47" spans="1:8" ht="25" x14ac:dyDescent="0.3">
      <c r="A47" s="81" t="s">
        <v>381</v>
      </c>
      <c r="B47" s="82" t="s">
        <v>403</v>
      </c>
      <c r="C47" s="83">
        <v>93</v>
      </c>
      <c r="D47" s="84">
        <v>40</v>
      </c>
    </row>
    <row r="48" spans="1:8" ht="25" x14ac:dyDescent="0.3">
      <c r="A48" s="81" t="s">
        <v>384</v>
      </c>
      <c r="B48" s="84" t="s">
        <v>411</v>
      </c>
      <c r="C48" s="85">
        <v>94</v>
      </c>
      <c r="D48" s="86">
        <v>40</v>
      </c>
    </row>
    <row r="49" spans="1:7" ht="25" x14ac:dyDescent="0.3">
      <c r="A49" s="81" t="s">
        <v>387</v>
      </c>
      <c r="B49" s="87" t="s">
        <v>406</v>
      </c>
      <c r="C49" s="88">
        <v>80</v>
      </c>
      <c r="D49" s="89">
        <v>60</v>
      </c>
    </row>
    <row r="50" spans="1:7" ht="25" x14ac:dyDescent="0.3">
      <c r="A50" s="90" t="s">
        <v>226</v>
      </c>
      <c r="B50" s="84" t="s">
        <v>350</v>
      </c>
      <c r="C50" s="84">
        <v>99</v>
      </c>
      <c r="D50" s="92" t="s">
        <v>228</v>
      </c>
    </row>
    <row r="51" spans="1:7" ht="25" x14ac:dyDescent="0.3">
      <c r="A51" s="90" t="s">
        <v>229</v>
      </c>
      <c r="B51" s="84" t="s">
        <v>351</v>
      </c>
      <c r="C51" s="84">
        <v>99</v>
      </c>
      <c r="D51" s="92" t="s">
        <v>228</v>
      </c>
    </row>
    <row r="52" spans="1:7" ht="25" x14ac:dyDescent="0.3">
      <c r="A52" s="94" t="s">
        <v>231</v>
      </c>
      <c r="B52" s="84" t="s">
        <v>352</v>
      </c>
      <c r="C52" s="84">
        <v>96</v>
      </c>
      <c r="D52" s="92" t="s">
        <v>228</v>
      </c>
    </row>
    <row r="53" spans="1:7" ht="25" x14ac:dyDescent="0.3">
      <c r="A53" s="81" t="s">
        <v>260</v>
      </c>
      <c r="B53" s="101" t="s">
        <v>407</v>
      </c>
      <c r="C53" s="87">
        <v>80</v>
      </c>
      <c r="D53" s="95" t="s">
        <v>389</v>
      </c>
    </row>
    <row r="54" spans="1:7" ht="25" x14ac:dyDescent="0.3">
      <c r="A54" s="97" t="s">
        <v>398</v>
      </c>
      <c r="B54" s="98" t="s">
        <v>409</v>
      </c>
      <c r="C54" s="98">
        <v>77</v>
      </c>
      <c r="D54" s="98">
        <v>68</v>
      </c>
    </row>
    <row r="56" spans="1:7" ht="25" x14ac:dyDescent="0.3">
      <c r="A56" s="96" t="s">
        <v>412</v>
      </c>
      <c r="B56" s="103" t="s">
        <v>147</v>
      </c>
      <c r="C56" s="104"/>
      <c r="D56" s="76" t="s">
        <v>148</v>
      </c>
      <c r="E56" s="103" t="s">
        <v>320</v>
      </c>
      <c r="F56" s="104"/>
      <c r="G56" s="76" t="s">
        <v>148</v>
      </c>
    </row>
    <row r="57" spans="1:7" ht="50" x14ac:dyDescent="0.3">
      <c r="A57" s="78" t="s">
        <v>379</v>
      </c>
      <c r="B57" s="79" t="s">
        <v>336</v>
      </c>
      <c r="C57" s="80" t="s">
        <v>151</v>
      </c>
      <c r="D57" s="79" t="s">
        <v>380</v>
      </c>
      <c r="E57" s="79" t="s">
        <v>336</v>
      </c>
      <c r="F57" s="80" t="s">
        <v>151</v>
      </c>
      <c r="G57" s="79" t="s">
        <v>380</v>
      </c>
    </row>
    <row r="58" spans="1:7" ht="25" x14ac:dyDescent="0.3">
      <c r="A58" s="81" t="s">
        <v>381</v>
      </c>
      <c r="B58" s="82" t="s">
        <v>382</v>
      </c>
      <c r="C58" s="83">
        <v>94</v>
      </c>
      <c r="D58" s="84">
        <v>40</v>
      </c>
      <c r="E58" s="82" t="s">
        <v>413</v>
      </c>
      <c r="F58" s="83">
        <v>95</v>
      </c>
      <c r="G58" s="84">
        <v>70</v>
      </c>
    </row>
    <row r="59" spans="1:7" ht="25" x14ac:dyDescent="0.3">
      <c r="A59" s="81" t="s">
        <v>384</v>
      </c>
      <c r="B59" s="84" t="s">
        <v>414</v>
      </c>
      <c r="C59" s="85">
        <v>94</v>
      </c>
      <c r="D59" s="86">
        <v>40</v>
      </c>
      <c r="E59" s="84">
        <v>3020</v>
      </c>
      <c r="F59" s="85">
        <v>95</v>
      </c>
      <c r="G59" s="86">
        <v>40</v>
      </c>
    </row>
    <row r="60" spans="1:7" ht="25" x14ac:dyDescent="0.3">
      <c r="A60" s="81" t="s">
        <v>387</v>
      </c>
      <c r="B60" s="87" t="s">
        <v>415</v>
      </c>
      <c r="C60" s="88">
        <v>79</v>
      </c>
      <c r="D60" s="89">
        <v>70</v>
      </c>
      <c r="E60" s="87" t="s">
        <v>416</v>
      </c>
      <c r="F60" s="88">
        <v>80</v>
      </c>
      <c r="G60" s="89">
        <v>60</v>
      </c>
    </row>
    <row r="61" spans="1:7" ht="25" x14ac:dyDescent="0.3">
      <c r="A61" s="90" t="s">
        <v>226</v>
      </c>
      <c r="B61" s="84" t="s">
        <v>227</v>
      </c>
      <c r="C61" s="91">
        <v>99</v>
      </c>
      <c r="D61" s="92" t="s">
        <v>228</v>
      </c>
      <c r="E61" s="84" t="s">
        <v>350</v>
      </c>
      <c r="F61" s="84">
        <v>99</v>
      </c>
      <c r="G61" s="92" t="s">
        <v>228</v>
      </c>
    </row>
    <row r="62" spans="1:7" ht="25" x14ac:dyDescent="0.3">
      <c r="A62" s="90" t="s">
        <v>229</v>
      </c>
      <c r="B62" s="84" t="s">
        <v>230</v>
      </c>
      <c r="C62" s="93">
        <v>99</v>
      </c>
      <c r="D62" s="92" t="s">
        <v>228</v>
      </c>
      <c r="E62" s="84" t="s">
        <v>351</v>
      </c>
      <c r="F62" s="84">
        <v>99</v>
      </c>
      <c r="G62" s="92" t="s">
        <v>228</v>
      </c>
    </row>
    <row r="63" spans="1:7" ht="25" x14ac:dyDescent="0.3">
      <c r="A63" s="94" t="s">
        <v>231</v>
      </c>
      <c r="B63" s="87" t="s">
        <v>232</v>
      </c>
      <c r="C63" s="88">
        <v>90</v>
      </c>
      <c r="D63" s="92" t="s">
        <v>228</v>
      </c>
      <c r="E63" s="84" t="s">
        <v>352</v>
      </c>
      <c r="F63" s="84">
        <v>96</v>
      </c>
      <c r="G63" s="89" t="s">
        <v>228</v>
      </c>
    </row>
    <row r="64" spans="1:7" ht="25" x14ac:dyDescent="0.3">
      <c r="A64" s="81" t="s">
        <v>260</v>
      </c>
      <c r="B64" s="87" t="s">
        <v>272</v>
      </c>
      <c r="C64" s="87">
        <v>80</v>
      </c>
      <c r="D64" s="95" t="s">
        <v>389</v>
      </c>
      <c r="E64" s="84" t="s">
        <v>407</v>
      </c>
      <c r="F64" s="84">
        <v>75</v>
      </c>
      <c r="G64" s="95" t="s">
        <v>389</v>
      </c>
    </row>
    <row r="65" spans="1:7" ht="25" x14ac:dyDescent="0.3">
      <c r="A65" s="97" t="s">
        <v>398</v>
      </c>
      <c r="B65" s="98" t="s">
        <v>417</v>
      </c>
      <c r="C65" s="98">
        <v>77</v>
      </c>
      <c r="D65" s="98">
        <v>70</v>
      </c>
      <c r="E65" s="98" t="s">
        <v>418</v>
      </c>
      <c r="F65" s="98">
        <v>76</v>
      </c>
      <c r="G65" s="98">
        <v>70</v>
      </c>
    </row>
    <row r="68" spans="1:7" ht="25" x14ac:dyDescent="0.3">
      <c r="A68" s="96" t="s">
        <v>419</v>
      </c>
      <c r="B68" s="103" t="s">
        <v>147</v>
      </c>
      <c r="C68" s="104"/>
      <c r="D68" s="76" t="s">
        <v>148</v>
      </c>
      <c r="E68" s="103" t="s">
        <v>320</v>
      </c>
      <c r="F68" s="104"/>
      <c r="G68" s="76" t="s">
        <v>148</v>
      </c>
    </row>
    <row r="69" spans="1:7" ht="50" x14ac:dyDescent="0.3">
      <c r="A69" s="78" t="s">
        <v>379</v>
      </c>
      <c r="B69" s="79" t="s">
        <v>336</v>
      </c>
      <c r="C69" s="80" t="s">
        <v>151</v>
      </c>
      <c r="D69" s="79" t="s">
        <v>380</v>
      </c>
      <c r="E69" s="79" t="s">
        <v>336</v>
      </c>
      <c r="F69" s="80" t="s">
        <v>151</v>
      </c>
      <c r="G69" s="79" t="s">
        <v>380</v>
      </c>
    </row>
    <row r="70" spans="1:7" ht="25" x14ac:dyDescent="0.3">
      <c r="A70" s="81" t="s">
        <v>381</v>
      </c>
      <c r="B70" s="82" t="s">
        <v>382</v>
      </c>
      <c r="C70" s="83">
        <v>94</v>
      </c>
      <c r="D70" s="84">
        <v>70</v>
      </c>
      <c r="E70" s="82" t="s">
        <v>413</v>
      </c>
      <c r="F70" s="83">
        <v>95</v>
      </c>
      <c r="G70" s="84">
        <v>70</v>
      </c>
    </row>
    <row r="71" spans="1:7" ht="25" x14ac:dyDescent="0.3">
      <c r="A71" s="81" t="s">
        <v>384</v>
      </c>
      <c r="B71" s="84" t="s">
        <v>414</v>
      </c>
      <c r="C71" s="85">
        <v>94</v>
      </c>
      <c r="D71" s="86">
        <v>70</v>
      </c>
      <c r="E71" s="84">
        <v>3020</v>
      </c>
      <c r="F71" s="85">
        <v>95</v>
      </c>
      <c r="G71" s="86">
        <v>70</v>
      </c>
    </row>
    <row r="72" spans="1:7" ht="25" x14ac:dyDescent="0.3">
      <c r="A72" s="81" t="s">
        <v>387</v>
      </c>
      <c r="B72" s="87" t="s">
        <v>415</v>
      </c>
      <c r="C72" s="88">
        <v>79</v>
      </c>
      <c r="D72" s="89">
        <v>70</v>
      </c>
      <c r="E72" s="87" t="s">
        <v>420</v>
      </c>
      <c r="F72" s="88">
        <v>80</v>
      </c>
      <c r="G72" s="89">
        <v>70</v>
      </c>
    </row>
    <row r="73" spans="1:7" ht="25" x14ac:dyDescent="0.3">
      <c r="A73" s="90" t="s">
        <v>226</v>
      </c>
      <c r="B73" s="84" t="s">
        <v>421</v>
      </c>
      <c r="C73" s="91">
        <v>99</v>
      </c>
      <c r="D73" s="92" t="s">
        <v>228</v>
      </c>
      <c r="E73" s="84" t="s">
        <v>422</v>
      </c>
      <c r="F73" s="84">
        <v>99</v>
      </c>
      <c r="G73" s="92" t="s">
        <v>228</v>
      </c>
    </row>
    <row r="74" spans="1:7" ht="25" x14ac:dyDescent="0.3">
      <c r="A74" s="90" t="s">
        <v>229</v>
      </c>
      <c r="B74" s="84" t="s">
        <v>230</v>
      </c>
      <c r="C74" s="93">
        <v>99</v>
      </c>
      <c r="D74" s="92" t="s">
        <v>228</v>
      </c>
      <c r="E74" s="84" t="s">
        <v>351</v>
      </c>
      <c r="F74" s="84">
        <v>99</v>
      </c>
      <c r="G74" s="92" t="s">
        <v>228</v>
      </c>
    </row>
    <row r="75" spans="1:7" ht="25" x14ac:dyDescent="0.3">
      <c r="A75" s="94" t="s">
        <v>231</v>
      </c>
      <c r="B75" s="87" t="s">
        <v>232</v>
      </c>
      <c r="C75" s="88">
        <v>90</v>
      </c>
      <c r="D75" s="92" t="s">
        <v>228</v>
      </c>
      <c r="E75" s="84" t="s">
        <v>352</v>
      </c>
      <c r="F75" s="84">
        <v>96</v>
      </c>
      <c r="G75" s="89" t="s">
        <v>228</v>
      </c>
    </row>
    <row r="76" spans="1:7" ht="25" x14ac:dyDescent="0.3">
      <c r="A76" s="81" t="s">
        <v>260</v>
      </c>
      <c r="B76" s="87" t="s">
        <v>506</v>
      </c>
      <c r="C76" s="87">
        <v>97</v>
      </c>
      <c r="D76" s="98">
        <v>50</v>
      </c>
      <c r="E76" s="84" t="s">
        <v>507</v>
      </c>
      <c r="F76" s="84">
        <v>97</v>
      </c>
      <c r="G76" s="98">
        <v>50</v>
      </c>
    </row>
    <row r="77" spans="1:7" ht="25" x14ac:dyDescent="0.3">
      <c r="A77" s="97" t="s">
        <v>398</v>
      </c>
      <c r="B77" s="98" t="s">
        <v>423</v>
      </c>
      <c r="C77" s="98">
        <v>75</v>
      </c>
      <c r="D77" s="98">
        <v>70</v>
      </c>
      <c r="E77" s="98" t="s">
        <v>424</v>
      </c>
      <c r="F77" s="98">
        <v>76</v>
      </c>
      <c r="G77" s="98">
        <v>70</v>
      </c>
    </row>
  </sheetData>
  <mergeCells count="13">
    <mergeCell ref="B68:C68"/>
    <mergeCell ref="E68:F68"/>
    <mergeCell ref="B1:C1"/>
    <mergeCell ref="E1:F1"/>
    <mergeCell ref="B12:C12"/>
    <mergeCell ref="E12:F12"/>
    <mergeCell ref="B23:C23"/>
    <mergeCell ref="E23:F23"/>
    <mergeCell ref="B45:C45"/>
    <mergeCell ref="B56:C56"/>
    <mergeCell ref="E56:F56"/>
    <mergeCell ref="B34:C34"/>
    <mergeCell ref="E34:F3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E6899-576B-F44E-A189-C616F2524B03}">
  <dimension ref="A1:C46"/>
  <sheetViews>
    <sheetView workbookViewId="0">
      <selection activeCell="B8" sqref="B8"/>
    </sheetView>
  </sheetViews>
  <sheetFormatPr baseColWidth="10" defaultColWidth="11.5" defaultRowHeight="15" x14ac:dyDescent="0.2"/>
  <cols>
    <col min="1" max="1" width="59.1640625" customWidth="1"/>
    <col min="2" max="2" width="35.6640625" customWidth="1"/>
    <col min="3" max="3" width="33.33203125" customWidth="1"/>
  </cols>
  <sheetData>
    <row r="1" spans="1:3" ht="60" x14ac:dyDescent="0.2">
      <c r="A1" s="50" t="s">
        <v>425</v>
      </c>
      <c r="B1" s="37" t="s">
        <v>320</v>
      </c>
      <c r="C1" s="36" t="s">
        <v>148</v>
      </c>
    </row>
    <row r="2" spans="1:3" ht="19" x14ac:dyDescent="0.25">
      <c r="A2" s="38" t="s">
        <v>149</v>
      </c>
      <c r="B2" s="40" t="s">
        <v>336</v>
      </c>
      <c r="C2" s="40"/>
    </row>
    <row r="3" spans="1:3" ht="19" hidden="1" x14ac:dyDescent="0.2">
      <c r="A3" s="22" t="s">
        <v>426</v>
      </c>
      <c r="B3" s="15"/>
      <c r="C3" s="42"/>
    </row>
    <row r="4" spans="1:3" ht="16" hidden="1" x14ac:dyDescent="0.2">
      <c r="A4" s="2" t="s">
        <v>427</v>
      </c>
      <c r="B4" s="15"/>
      <c r="C4" s="4"/>
    </row>
    <row r="5" spans="1:3" ht="16" hidden="1" x14ac:dyDescent="0.2">
      <c r="A5" s="2" t="s">
        <v>428</v>
      </c>
      <c r="B5" s="1"/>
      <c r="C5" s="57"/>
    </row>
    <row r="6" spans="1:3" ht="16" hidden="1" x14ac:dyDescent="0.2">
      <c r="A6" s="2" t="s">
        <v>429</v>
      </c>
      <c r="B6" s="4"/>
      <c r="C6" s="4"/>
    </row>
    <row r="7" spans="1:3" ht="16" hidden="1" x14ac:dyDescent="0.2">
      <c r="A7" s="2" t="s">
        <v>158</v>
      </c>
      <c r="B7" s="4"/>
      <c r="C7" s="4"/>
    </row>
    <row r="8" spans="1:3" ht="16" x14ac:dyDescent="0.2">
      <c r="A8" s="2" t="s">
        <v>160</v>
      </c>
      <c r="B8" s="1" t="s">
        <v>430</v>
      </c>
      <c r="C8" s="58" t="s">
        <v>431</v>
      </c>
    </row>
    <row r="9" spans="1:3" ht="16" x14ac:dyDescent="0.2">
      <c r="A9" s="2" t="s">
        <v>162</v>
      </c>
      <c r="B9" s="4" t="s">
        <v>432</v>
      </c>
      <c r="C9" s="57" t="s">
        <v>433</v>
      </c>
    </row>
    <row r="10" spans="1:3" ht="16" hidden="1" x14ac:dyDescent="0.2">
      <c r="A10" s="2" t="s">
        <v>164</v>
      </c>
      <c r="B10" s="4"/>
      <c r="C10" s="4"/>
    </row>
    <row r="11" spans="1:3" ht="16" hidden="1" x14ac:dyDescent="0.2">
      <c r="A11" s="2" t="s">
        <v>434</v>
      </c>
      <c r="B11" s="4"/>
      <c r="C11" s="57"/>
    </row>
    <row r="12" spans="1:3" ht="16" hidden="1" x14ac:dyDescent="0.2">
      <c r="A12" s="2" t="s">
        <v>168</v>
      </c>
      <c r="B12" s="4"/>
      <c r="C12" s="4"/>
    </row>
    <row r="13" spans="1:3" ht="16" hidden="1" x14ac:dyDescent="0.2">
      <c r="A13" s="2" t="s">
        <v>172</v>
      </c>
      <c r="B13" s="1"/>
      <c r="C13" s="57"/>
    </row>
    <row r="14" spans="1:3" ht="16" hidden="1" x14ac:dyDescent="0.2">
      <c r="A14" s="2" t="s">
        <v>435</v>
      </c>
      <c r="B14" s="10"/>
      <c r="C14" s="4"/>
    </row>
    <row r="15" spans="1:3" ht="16" hidden="1" x14ac:dyDescent="0.2">
      <c r="A15" s="2" t="s">
        <v>436</v>
      </c>
      <c r="B15" s="4"/>
      <c r="C15" s="4"/>
    </row>
    <row r="16" spans="1:3" ht="16" hidden="1" x14ac:dyDescent="0.2">
      <c r="A16" s="2" t="s">
        <v>174</v>
      </c>
      <c r="B16" s="1"/>
      <c r="C16" s="4"/>
    </row>
    <row r="17" spans="1:3" ht="16" hidden="1" x14ac:dyDescent="0.2">
      <c r="A17" s="2" t="s">
        <v>437</v>
      </c>
      <c r="B17" s="4"/>
      <c r="C17" s="4"/>
    </row>
    <row r="18" spans="1:3" ht="16" hidden="1" x14ac:dyDescent="0.2">
      <c r="A18" s="2" t="s">
        <v>438</v>
      </c>
      <c r="B18" s="1"/>
      <c r="C18" s="4"/>
    </row>
    <row r="19" spans="1:3" ht="16" hidden="1" x14ac:dyDescent="0.2">
      <c r="A19" s="3" t="s">
        <v>180</v>
      </c>
      <c r="B19" s="46"/>
      <c r="C19" s="4"/>
    </row>
    <row r="20" spans="1:3" ht="16" hidden="1" x14ac:dyDescent="0.2">
      <c r="A20" s="43" t="s">
        <v>439</v>
      </c>
      <c r="B20" s="7"/>
      <c r="C20" s="7"/>
    </row>
    <row r="21" spans="1:3" ht="19" x14ac:dyDescent="0.25">
      <c r="A21" s="38" t="s">
        <v>184</v>
      </c>
      <c r="B21" s="40"/>
      <c r="C21" s="59"/>
    </row>
    <row r="22" spans="1:3" ht="16" hidden="1" x14ac:dyDescent="0.2">
      <c r="A22" s="22" t="s">
        <v>185</v>
      </c>
      <c r="B22" s="27"/>
      <c r="C22" s="54"/>
    </row>
    <row r="23" spans="1:3" ht="16" x14ac:dyDescent="0.2">
      <c r="A23" s="2" t="s">
        <v>187</v>
      </c>
      <c r="B23" s="23" t="s">
        <v>440</v>
      </c>
      <c r="C23" s="56" t="s">
        <v>441</v>
      </c>
    </row>
    <row r="24" spans="1:3" ht="16" hidden="1" x14ac:dyDescent="0.2">
      <c r="A24" s="2" t="s">
        <v>189</v>
      </c>
      <c r="B24" s="10"/>
      <c r="C24" s="56"/>
    </row>
    <row r="25" spans="1:3" ht="16" x14ac:dyDescent="0.2">
      <c r="A25" s="2" t="s">
        <v>191</v>
      </c>
      <c r="B25" s="10" t="s">
        <v>442</v>
      </c>
      <c r="C25" s="56" t="s">
        <v>443</v>
      </c>
    </row>
    <row r="26" spans="1:3" ht="16" x14ac:dyDescent="0.2">
      <c r="A26" s="2" t="s">
        <v>193</v>
      </c>
      <c r="B26" s="10" t="s">
        <v>444</v>
      </c>
      <c r="C26" s="56" t="s">
        <v>445</v>
      </c>
    </row>
    <row r="27" spans="1:3" ht="16" hidden="1" x14ac:dyDescent="0.2">
      <c r="A27" s="2" t="s">
        <v>446</v>
      </c>
      <c r="B27" s="10"/>
      <c r="C27" s="56"/>
    </row>
    <row r="28" spans="1:3" ht="16" hidden="1" x14ac:dyDescent="0.2">
      <c r="A28" s="2" t="s">
        <v>197</v>
      </c>
      <c r="B28" s="10"/>
      <c r="C28" s="56"/>
    </row>
    <row r="29" spans="1:3" ht="16" hidden="1" x14ac:dyDescent="0.2">
      <c r="A29" s="2" t="s">
        <v>199</v>
      </c>
      <c r="B29" s="10"/>
      <c r="C29" s="56"/>
    </row>
    <row r="30" spans="1:3" ht="16" hidden="1" x14ac:dyDescent="0.2">
      <c r="A30" s="2" t="s">
        <v>447</v>
      </c>
      <c r="B30" s="10"/>
      <c r="C30" s="56"/>
    </row>
    <row r="31" spans="1:3" ht="16" hidden="1" x14ac:dyDescent="0.2">
      <c r="A31" s="2" t="s">
        <v>448</v>
      </c>
      <c r="B31" s="10"/>
      <c r="C31" s="56"/>
    </row>
    <row r="32" spans="1:3" ht="19" hidden="1" x14ac:dyDescent="0.25">
      <c r="A32" s="29" t="s">
        <v>205</v>
      </c>
      <c r="B32" s="14"/>
      <c r="C32" s="60"/>
    </row>
    <row r="33" spans="1:3" ht="16" hidden="1" x14ac:dyDescent="0.2">
      <c r="A33" s="2" t="s">
        <v>208</v>
      </c>
      <c r="B33" s="47"/>
      <c r="C33" s="56"/>
    </row>
    <row r="34" spans="1:3" ht="16" hidden="1" x14ac:dyDescent="0.2">
      <c r="A34" s="2" t="s">
        <v>211</v>
      </c>
      <c r="B34" s="47"/>
      <c r="C34" s="56"/>
    </row>
    <row r="35" spans="1:3" ht="16" hidden="1" x14ac:dyDescent="0.2">
      <c r="A35" s="2" t="s">
        <v>212</v>
      </c>
      <c r="B35" s="47"/>
      <c r="C35" s="56"/>
    </row>
    <row r="36" spans="1:3" ht="16" hidden="1" x14ac:dyDescent="0.2">
      <c r="A36" s="2" t="s">
        <v>187</v>
      </c>
      <c r="B36" s="47"/>
      <c r="C36" s="53"/>
    </row>
    <row r="37" spans="1:3" ht="19" x14ac:dyDescent="0.25">
      <c r="A37" s="29" t="s">
        <v>214</v>
      </c>
      <c r="B37" s="12"/>
      <c r="C37" s="61"/>
    </row>
    <row r="38" spans="1:3" ht="16" hidden="1" x14ac:dyDescent="0.2">
      <c r="A38" s="2" t="s">
        <v>215</v>
      </c>
      <c r="B38" s="48"/>
      <c r="C38" s="62"/>
    </row>
    <row r="39" spans="1:3" ht="16" hidden="1" x14ac:dyDescent="0.2">
      <c r="A39" s="2" t="s">
        <v>217</v>
      </c>
      <c r="B39" s="4"/>
      <c r="C39" s="62"/>
    </row>
    <row r="40" spans="1:3" ht="16" x14ac:dyDescent="0.2">
      <c r="A40" s="2" t="s">
        <v>218</v>
      </c>
      <c r="B40" s="4" t="s">
        <v>449</v>
      </c>
      <c r="C40" s="58" t="s">
        <v>450</v>
      </c>
    </row>
    <row r="41" spans="1:3" ht="16" x14ac:dyDescent="0.2">
      <c r="A41" s="2" t="s">
        <v>219</v>
      </c>
      <c r="B41" s="4" t="s">
        <v>451</v>
      </c>
      <c r="C41" s="58" t="s">
        <v>452</v>
      </c>
    </row>
    <row r="42" spans="1:3" ht="16" hidden="1" x14ac:dyDescent="0.2">
      <c r="A42" s="22" t="s">
        <v>220</v>
      </c>
      <c r="B42" s="15"/>
      <c r="C42" s="15"/>
    </row>
    <row r="43" spans="1:3" ht="16" hidden="1" x14ac:dyDescent="0.2">
      <c r="A43" s="22" t="s">
        <v>221</v>
      </c>
      <c r="B43" s="45"/>
      <c r="C43" s="15"/>
    </row>
    <row r="44" spans="1:3" ht="16" hidden="1" x14ac:dyDescent="0.2">
      <c r="A44" s="2" t="s">
        <v>222</v>
      </c>
      <c r="B44" s="4"/>
      <c r="C44" s="4"/>
    </row>
    <row r="45" spans="1:3" ht="16" x14ac:dyDescent="0.2">
      <c r="A45" s="2" t="s">
        <v>223</v>
      </c>
      <c r="B45" s="1" t="s">
        <v>453</v>
      </c>
      <c r="C45" s="4" t="s">
        <v>454</v>
      </c>
    </row>
    <row r="46" spans="1:3" ht="16" hidden="1" x14ac:dyDescent="0.2">
      <c r="A46" s="2" t="s">
        <v>224</v>
      </c>
      <c r="B46" s="4"/>
      <c r="C46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07167-CEB4-F64B-93AF-8A8BA2B4D0FF}">
  <dimension ref="A1:D39"/>
  <sheetViews>
    <sheetView topLeftCell="A4" workbookViewId="0">
      <selection activeCell="B31" sqref="B31"/>
    </sheetView>
  </sheetViews>
  <sheetFormatPr baseColWidth="10" defaultColWidth="11.5" defaultRowHeight="15" x14ac:dyDescent="0.2"/>
  <cols>
    <col min="1" max="1" width="62.1640625" customWidth="1"/>
    <col min="2" max="2" width="35.83203125" customWidth="1"/>
    <col min="3" max="3" width="40.6640625" customWidth="1"/>
  </cols>
  <sheetData>
    <row r="1" spans="1:4" ht="81" x14ac:dyDescent="0.2">
      <c r="A1" s="71" t="s">
        <v>455</v>
      </c>
      <c r="B1" s="72" t="s">
        <v>456</v>
      </c>
      <c r="C1" s="73" t="s">
        <v>457</v>
      </c>
    </row>
    <row r="2" spans="1:4" ht="22" x14ac:dyDescent="0.25">
      <c r="A2" s="69" t="s">
        <v>458</v>
      </c>
      <c r="B2" s="70" t="s">
        <v>459</v>
      </c>
      <c r="C2" s="70" t="s">
        <v>460</v>
      </c>
    </row>
    <row r="3" spans="1:4" ht="22" x14ac:dyDescent="0.25">
      <c r="A3" s="69" t="s">
        <v>461</v>
      </c>
      <c r="B3" s="70" t="s">
        <v>462</v>
      </c>
      <c r="C3" s="70" t="s">
        <v>232</v>
      </c>
    </row>
    <row r="4" spans="1:4" ht="22" x14ac:dyDescent="0.25">
      <c r="A4" s="69" t="s">
        <v>463</v>
      </c>
      <c r="B4" s="74" t="s">
        <v>464</v>
      </c>
      <c r="C4" s="74" t="s">
        <v>464</v>
      </c>
    </row>
    <row r="5" spans="1:4" ht="22" x14ac:dyDescent="0.25">
      <c r="A5" s="69" t="s">
        <v>465</v>
      </c>
      <c r="B5" s="74" t="s">
        <v>464</v>
      </c>
      <c r="C5" s="74" t="s">
        <v>464</v>
      </c>
    </row>
    <row r="6" spans="1:4" ht="22" x14ac:dyDescent="0.25">
      <c r="A6" s="69" t="s">
        <v>466</v>
      </c>
      <c r="B6" s="70" t="s">
        <v>467</v>
      </c>
      <c r="C6" s="70" t="s">
        <v>468</v>
      </c>
    </row>
    <row r="7" spans="1:4" ht="22" x14ac:dyDescent="0.25">
      <c r="A7" s="69" t="s">
        <v>469</v>
      </c>
      <c r="B7" s="70" t="s">
        <v>470</v>
      </c>
      <c r="C7" s="70" t="s">
        <v>471</v>
      </c>
      <c r="D7" t="s">
        <v>472</v>
      </c>
    </row>
    <row r="8" spans="1:4" ht="22" x14ac:dyDescent="0.25">
      <c r="A8" s="69" t="s">
        <v>473</v>
      </c>
      <c r="B8" s="70" t="s">
        <v>331</v>
      </c>
      <c r="C8" s="70" t="s">
        <v>474</v>
      </c>
      <c r="D8" t="s">
        <v>475</v>
      </c>
    </row>
    <row r="9" spans="1:4" ht="22" x14ac:dyDescent="0.25">
      <c r="A9" s="69" t="s">
        <v>476</v>
      </c>
      <c r="B9" s="70" t="s">
        <v>477</v>
      </c>
      <c r="C9" s="70" t="s">
        <v>478</v>
      </c>
      <c r="D9" t="s">
        <v>479</v>
      </c>
    </row>
    <row r="10" spans="1:4" ht="22" x14ac:dyDescent="0.25">
      <c r="A10" s="69" t="s">
        <v>480</v>
      </c>
      <c r="B10" s="70">
        <v>26000</v>
      </c>
      <c r="C10" s="70">
        <v>20000</v>
      </c>
    </row>
    <row r="11" spans="1:4" ht="22" x14ac:dyDescent="0.25">
      <c r="A11" s="69" t="s">
        <v>481</v>
      </c>
      <c r="B11" s="70">
        <v>445</v>
      </c>
      <c r="C11" s="70">
        <v>371</v>
      </c>
    </row>
    <row r="12" spans="1:4" ht="22" x14ac:dyDescent="0.25">
      <c r="A12" s="69" t="s">
        <v>482</v>
      </c>
      <c r="B12" s="70">
        <v>96000</v>
      </c>
      <c r="C12" s="70">
        <v>80000</v>
      </c>
    </row>
    <row r="13" spans="1:4" ht="22" x14ac:dyDescent="0.25">
      <c r="A13" s="69" t="s">
        <v>483</v>
      </c>
      <c r="B13" s="70">
        <v>400000</v>
      </c>
      <c r="C13" s="70">
        <v>300000</v>
      </c>
    </row>
    <row r="14" spans="1:4" ht="22" x14ac:dyDescent="0.25">
      <c r="A14" s="69" t="s">
        <v>484</v>
      </c>
      <c r="B14" s="70">
        <v>200000</v>
      </c>
      <c r="C14" s="70">
        <v>150000</v>
      </c>
    </row>
    <row r="25" spans="1:3" x14ac:dyDescent="0.2">
      <c r="B25" s="102" t="s">
        <v>485</v>
      </c>
      <c r="C25" s="102" t="s">
        <v>485</v>
      </c>
    </row>
    <row r="26" spans="1:3" x14ac:dyDescent="0.2">
      <c r="A26" s="102" t="s">
        <v>486</v>
      </c>
      <c r="B26" s="102" t="s">
        <v>457</v>
      </c>
      <c r="C26" s="102" t="s">
        <v>456</v>
      </c>
    </row>
    <row r="27" spans="1:3" x14ac:dyDescent="0.2">
      <c r="A27" t="s">
        <v>487</v>
      </c>
      <c r="B27">
        <v>1100</v>
      </c>
      <c r="C27">
        <v>1600</v>
      </c>
    </row>
    <row r="28" spans="1:3" x14ac:dyDescent="0.2">
      <c r="A28" t="s">
        <v>488</v>
      </c>
      <c r="B28">
        <v>1000</v>
      </c>
      <c r="C28">
        <v>1500</v>
      </c>
    </row>
    <row r="29" spans="1:3" x14ac:dyDescent="0.2">
      <c r="A29" t="s">
        <v>489</v>
      </c>
      <c r="B29">
        <v>4500</v>
      </c>
      <c r="C29">
        <v>5500</v>
      </c>
    </row>
    <row r="30" spans="1:3" x14ac:dyDescent="0.2">
      <c r="A30" t="s">
        <v>490</v>
      </c>
      <c r="B30" t="s">
        <v>464</v>
      </c>
      <c r="C30" t="s">
        <v>464</v>
      </c>
    </row>
    <row r="31" spans="1:3" x14ac:dyDescent="0.2">
      <c r="A31" t="s">
        <v>491</v>
      </c>
      <c r="B31" t="s">
        <v>464</v>
      </c>
      <c r="C31" t="s">
        <v>464</v>
      </c>
    </row>
    <row r="32" spans="1:3" x14ac:dyDescent="0.2">
      <c r="A32" t="s">
        <v>492</v>
      </c>
      <c r="B32">
        <v>650</v>
      </c>
      <c r="C32">
        <v>900</v>
      </c>
    </row>
    <row r="33" spans="1:3" x14ac:dyDescent="0.2">
      <c r="A33" t="s">
        <v>493</v>
      </c>
      <c r="B33">
        <v>350</v>
      </c>
      <c r="C33">
        <v>550</v>
      </c>
    </row>
    <row r="34" spans="1:3" x14ac:dyDescent="0.2">
      <c r="A34" t="s">
        <v>494</v>
      </c>
      <c r="B34">
        <v>300</v>
      </c>
      <c r="C34">
        <v>450</v>
      </c>
    </row>
    <row r="35" spans="1:3" x14ac:dyDescent="0.2">
      <c r="A35" t="s">
        <v>495</v>
      </c>
      <c r="B35">
        <v>150</v>
      </c>
      <c r="C35">
        <v>250</v>
      </c>
    </row>
    <row r="36" spans="1:3" x14ac:dyDescent="0.2">
      <c r="A36" t="s">
        <v>496</v>
      </c>
      <c r="B36" t="s">
        <v>497</v>
      </c>
      <c r="C36" t="s">
        <v>498</v>
      </c>
    </row>
    <row r="37" spans="1:3" x14ac:dyDescent="0.2">
      <c r="A37" t="s">
        <v>499</v>
      </c>
      <c r="B37" t="s">
        <v>500</v>
      </c>
      <c r="C37" t="s">
        <v>501</v>
      </c>
    </row>
    <row r="38" spans="1:3" x14ac:dyDescent="0.2">
      <c r="A38" t="s">
        <v>502</v>
      </c>
      <c r="B38" t="s">
        <v>503</v>
      </c>
      <c r="C38" t="s">
        <v>504</v>
      </c>
    </row>
    <row r="39" spans="1:3" x14ac:dyDescent="0.2">
      <c r="A39" t="s">
        <v>505</v>
      </c>
      <c r="B39">
        <v>128</v>
      </c>
      <c r="C39">
        <v>256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f4d24f-a117-48f7-91e1-2035a8c734fd">
      <Terms xmlns="http://schemas.microsoft.com/office/infopath/2007/PartnerControls"/>
    </lcf76f155ced4ddcb4097134ff3c332f>
    <TaxCatchAll xmlns="cb645b5b-9a36-43da-96bf-ab72ec91ddff" xsi:nil="true"/>
    <SharedWithUsers xmlns="0b7692b1-2532-40e4-a300-4d7fced4a07a">
      <UserInfo>
        <DisplayName>Anand Thulasiram</DisplayName>
        <AccountId>2178</AccountId>
        <AccountType/>
      </UserInfo>
      <UserInfo>
        <DisplayName>Vipin Kumar</DisplayName>
        <AccountId>64</AccountId>
        <AccountType/>
      </UserInfo>
      <UserInfo>
        <DisplayName>Sunil  Masineni</DisplayName>
        <AccountId>5184</AccountId>
        <AccountType/>
      </UserInfo>
      <UserInfo>
        <DisplayName>Geetha B K</DisplayName>
        <AccountId>63</AccountId>
        <AccountType/>
      </UserInfo>
      <UserInfo>
        <DisplayName>Jagadeesh Rajashekharaiah</DisplayName>
        <AccountId>13</AccountId>
        <AccountType/>
      </UserInfo>
      <UserInfo>
        <DisplayName>Deepasri Chittala</DisplayName>
        <AccountId>4801</AccountId>
        <AccountType/>
      </UserInfo>
      <UserInfo>
        <DisplayName>Weibin Chen</DisplayName>
        <AccountId>317</AccountId>
        <AccountType/>
      </UserInfo>
      <UserInfo>
        <DisplayName>Xiaochen Tang</DisplayName>
        <AccountId>910</AccountId>
        <AccountType/>
      </UserInfo>
      <UserInfo>
        <DisplayName>Anand Antur</DisplayName>
        <AccountId>670</AccountId>
        <AccountType/>
      </UserInfo>
      <UserInfo>
        <DisplayName>Venu Maya</DisplayName>
        <AccountId>33</AccountId>
        <AccountType/>
      </UserInfo>
      <UserInfo>
        <DisplayName>Chockalingam Balasubramanian</DisplayName>
        <AccountId>682</AccountId>
        <AccountType/>
      </UserInfo>
      <UserInfo>
        <DisplayName>Neetu Rathee</DisplayName>
        <AccountId>4709</AccountId>
        <AccountType/>
      </UserInfo>
      <UserInfo>
        <DisplayName>Prasad Shroff</DisplayName>
        <AccountId>4142</AccountId>
        <AccountType/>
      </UserInfo>
      <UserInfo>
        <DisplayName>Kedar Dhuru</DisplayName>
        <AccountId>3907</AccountId>
        <AccountType/>
      </UserInfo>
      <UserInfo>
        <DisplayName>Sarvesh Batta</DisplayName>
        <AccountId>21</AccountId>
        <AccountType/>
      </UserInfo>
      <UserInfo>
        <DisplayName>Shankar Satyamurthy</DisplayName>
        <AccountId>3116</AccountId>
        <AccountType/>
      </UserInfo>
      <UserInfo>
        <DisplayName>David Passamonte</DisplayName>
        <AccountId>5189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a3ce5a06-b323-45b4-8d97-2f59321c9a5a" ContentTypeId="0x01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711BC64AAEC84E9EF800276F1AD52C" ma:contentTypeVersion="22" ma:contentTypeDescription="Create a new document." ma:contentTypeScope="" ma:versionID="ba397f1440615f1339f1f20b24e67478">
  <xsd:schema xmlns:xsd="http://www.w3.org/2001/XMLSchema" xmlns:xs="http://www.w3.org/2001/XMLSchema" xmlns:p="http://schemas.microsoft.com/office/2006/metadata/properties" xmlns:ns2="9bf4d24f-a117-48f7-91e1-2035a8c734fd" xmlns:ns3="0b7692b1-2532-40e4-a300-4d7fced4a07a" xmlns:ns4="cb645b5b-9a36-43da-96bf-ab72ec91ddff" targetNamespace="http://schemas.microsoft.com/office/2006/metadata/properties" ma:root="true" ma:fieldsID="74828cee37efa74eab9b700f6a6651cc" ns2:_="" ns3:_="" ns4:_="">
    <xsd:import namespace="9bf4d24f-a117-48f7-91e1-2035a8c734fd"/>
    <xsd:import namespace="0b7692b1-2532-40e4-a300-4d7fced4a07a"/>
    <xsd:import namespace="cb645b5b-9a36-43da-96bf-ab72ec91dd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f4d24f-a117-48f7-91e1-2035a8c734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3ce5a06-b323-45b4-8d97-2f59321c9a5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7692b1-2532-40e4-a300-4d7fced4a07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645b5b-9a36-43da-96bf-ab72ec91ddff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0dc6bc52-c983-41a6-a41d-42e48b9093ed}" ma:internalName="TaxCatchAll" ma:showField="CatchAllData" ma:web="0b7692b1-2532-40e4-a300-4d7fced4a0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D764E2-0E35-4957-B738-9033D3F0B0F5}">
  <ds:schemaRefs>
    <ds:schemaRef ds:uri="http://schemas.microsoft.com/office/2006/metadata/properties"/>
    <ds:schemaRef ds:uri="http://schemas.microsoft.com/office/infopath/2007/PartnerControls"/>
    <ds:schemaRef ds:uri="9bf4d24f-a117-48f7-91e1-2035a8c734fd"/>
    <ds:schemaRef ds:uri="cb645b5b-9a36-43da-96bf-ab72ec91ddff"/>
    <ds:schemaRef ds:uri="0b7692b1-2532-40e4-a300-4d7fced4a07a"/>
  </ds:schemaRefs>
</ds:datastoreItem>
</file>

<file path=customXml/itemProps2.xml><?xml version="1.0" encoding="utf-8"?>
<ds:datastoreItem xmlns:ds="http://schemas.openxmlformats.org/officeDocument/2006/customXml" ds:itemID="{D75EC423-2542-4A93-99FE-CC28AA840E8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F876B3-44D4-4080-B40E-3DF67289D40E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C639165A-13FF-4A9F-A5E9-0E8F0976D5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f4d24f-a117-48f7-91e1-2035a8c734fd"/>
    <ds:schemaRef ds:uri="0b7692b1-2532-40e4-a300-4d7fced4a07a"/>
    <ds:schemaRef ds:uri="cb645b5b-9a36-43da-96bf-ab72ec91ddf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ISSUES-PR's</vt:lpstr>
      <vt:lpstr>SRX400</vt:lpstr>
      <vt:lpstr>SRX440</vt:lpstr>
      <vt:lpstr>DS-1</vt:lpstr>
      <vt:lpstr>Prelimnary data</vt:lpstr>
      <vt:lpstr>Second Set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Sudhir Kumar Gudi</dc:creator>
  <cp:keywords/>
  <dc:description/>
  <cp:lastModifiedBy>Shivang Singh</cp:lastModifiedBy>
  <cp:revision/>
  <dcterms:created xsi:type="dcterms:W3CDTF">2023-04-12T15:54:29Z</dcterms:created>
  <dcterms:modified xsi:type="dcterms:W3CDTF">2026-07-10T14:19:35Z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33b888-ae0d-4341-a75f-06e04137d755_Enabled">
    <vt:lpwstr>true</vt:lpwstr>
  </property>
  <property fmtid="{D5CDD505-2E9C-101B-9397-08002B2CF9AE}" pid="3" name="MSIP_Label_0633b888-ae0d-4341-a75f-06e04137d755_SetDate">
    <vt:lpwstr>2023-04-13T06:20:36Z</vt:lpwstr>
  </property>
  <property fmtid="{D5CDD505-2E9C-101B-9397-08002B2CF9AE}" pid="4" name="MSIP_Label_0633b888-ae0d-4341-a75f-06e04137d755_Method">
    <vt:lpwstr>Standard</vt:lpwstr>
  </property>
  <property fmtid="{D5CDD505-2E9C-101B-9397-08002B2CF9AE}" pid="5" name="MSIP_Label_0633b888-ae0d-4341-a75f-06e04137d755_Name">
    <vt:lpwstr>0633b888-ae0d-4341-a75f-06e04137d755</vt:lpwstr>
  </property>
  <property fmtid="{D5CDD505-2E9C-101B-9397-08002B2CF9AE}" pid="6" name="MSIP_Label_0633b888-ae0d-4341-a75f-06e04137d755_SiteId">
    <vt:lpwstr>bea78b3c-4cdb-4130-854a-1d193232e5f4</vt:lpwstr>
  </property>
  <property fmtid="{D5CDD505-2E9C-101B-9397-08002B2CF9AE}" pid="7" name="MSIP_Label_0633b888-ae0d-4341-a75f-06e04137d755_ActionId">
    <vt:lpwstr>87af7c44-132e-41f3-bea3-455f71a15e84</vt:lpwstr>
  </property>
  <property fmtid="{D5CDD505-2E9C-101B-9397-08002B2CF9AE}" pid="8" name="MSIP_Label_0633b888-ae0d-4341-a75f-06e04137d755_ContentBits">
    <vt:lpwstr>2</vt:lpwstr>
  </property>
  <property fmtid="{D5CDD505-2E9C-101B-9397-08002B2CF9AE}" pid="9" name="ContentTypeId">
    <vt:lpwstr>0x01010092711BC64AAEC84E9EF800276F1AD52C</vt:lpwstr>
  </property>
  <property fmtid="{D5CDD505-2E9C-101B-9397-08002B2CF9AE}" pid="10" name="MediaServiceImageTags">
    <vt:lpwstr/>
  </property>
</Properties>
</file>