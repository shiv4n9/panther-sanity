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shivang/Downloads/Panther Sanity/public/data/"/>
    </mc:Choice>
  </mc:AlternateContent>
  <xr:revisionPtr revIDLastSave="0" documentId="13_ncr:1_{CF93E20A-C15B-2E41-8A5B-F02E96ABA0B1}" xr6:coauthVersionLast="47" xr6:coauthVersionMax="47" xr10:uidLastSave="{00000000-0000-0000-0000-000000000000}"/>
  <bookViews>
    <workbookView xWindow="0" yWindow="660" windowWidth="34560" windowHeight="19740" firstSheet="1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<sst xmlns="http://schemas.openxmlformats.org/spreadsheetml/2006/main" count="2446" uniqueCount="513">
  <si>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</si>
  <si>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</si>
  <si>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</si>
  <si>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</si>
  <si>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</si>
  <si>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</si>
  <si>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</si>
  <si>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</si>
  <si>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</si>
  <si>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</si>
  <si>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</si>
  <si>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</si>
  <si>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</si>
  <si>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</si>
  <si>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</si>
  <si>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</si>
  <si>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</si>
  <si>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</si>
  <si>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</si>
  <si>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</si>
  <si>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</si>
  <si>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</si>
  <si>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</si>
  <si>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</si>
  <si>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</si>
  <si>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</si>
  <si>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</si>
  <si>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</si>
  <si>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</si>
  <si>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</si>
  <si>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</si>
  <si>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</si>
  <si>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</si>
  <si>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</si>
  <si>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</si>
  <si>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</si>
  <si>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</si>
  <si>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</si>
  <si>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</si>
  <si>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</si>
  <si>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</si>
  <si>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</si>
  <si>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</si>
  <si>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</si>
  <si>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</si>
  <si>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</si>
  <si>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</si>
  <si>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</si>
  <si>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</si>
  <si>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</si>
  <si>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</si>
  <si>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</si>
  <si>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</si>
  <si>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</si>
  <si>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</si>
  <si>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</si>
  <si>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</si>
  <si>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</si>
  <si>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</si>
  <si>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</si>
  <si>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</si>
  <si>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</si>
  <si>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</si>
  <si>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</si>
  <si>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</si>
  <si>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</si>
  <si>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</si>
  <si>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</si>
  <si>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</si>
  <si>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</si>
  <si>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</si>
  <si>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</si>
  <si>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</si>
  <si>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</si>
  <si>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</si>
  <si>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</si>
  <si>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</si>
  <si>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</si>
  <si>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</si>
  <si>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</si>
  <si>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</si>
  <si>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</si>
  <si>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</si>
  <si>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</si>
  <si>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</si>
  <si>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</si>
  <si>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</si>
  <si>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</si>
  <si>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</si>
  <si>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</si>
  <si>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</si>
  <si>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</si>
  <si>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</si>
  <si>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</si>
  <si>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</si>
  <si>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</si>
  <si>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</si>
  <si>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</si>
  <si>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</si>
  <si>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</si>
  <si>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</si>
  <si>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</si>
  <si>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</si>
  <si>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</si>
  <si>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</si>
  <si>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</si>
  <si>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</si>
  <si>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</si>
  <si>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</si>
  <si>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</si>
  <si>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</si>
  <si>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</si>
  <si>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</si>
  <si>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</si>
  <si>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</si>
  <si>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</si>
  <si>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</si>
  <si>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</si>
  <si>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</si>
  <si>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</si>
  <si>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</si>
  <si>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</si>
  <si>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</si>
  <si>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</si>
  <si>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</si>
  <si>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</si>
  <si>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</si>
  <si>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</si>
  <si>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</si>
  <si>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</si>
  <si>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</si>
  <si>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</si>
  <si>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</si>
  <si>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</si>
  <si>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</si>
  <si>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</si>
  <si>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</si>
  <si>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</si>
  <si>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</si>
  <si>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</si>
  <si>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</si>
  <si>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</si>
  <si>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</si>
  <si>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</si>
  <si>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</si>
  <si>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</si>
  <si>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</si>
  <si>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</si>
  <si>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</si>
  <si>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</si>
  <si>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</si>
  <si>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</si>
  <si>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</si>
  <si>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</si>
  <si>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</si>
  <si>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</si>
  <si>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</si>
  <si>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</si>
  <si>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</si>
  <si>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</si>
  <si>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</si>
  <si>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</si>
  <si>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</si>
  <si>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</si>
  <si>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</si>
  <si>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</si>
  <si>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</si>
  <si>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</si>
  <si>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</si>
  <si>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</si>
  <si>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</si>
  <si>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</si>
  <si>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</si>
  <si>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</si>
  <si>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</si>
  <si>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</si>
  <si>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</si>
  <si>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</si>
  <si>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</si>
  <si>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</si>
  <si>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</si>
  <si>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</si>
  <si>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</si>
  <si>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</si>
  <si>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</si>
  <si>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</si>
  <si>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</si>
  <si>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</si>
  <si>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</si>
  <si>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</si>
  <si>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</si>
  <si>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</si>
  <si>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</si>
  <si>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</si>
  <si>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</si>
  <si>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</si>
  <si>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</si>
  <si>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</si>
  <si>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</si>
  <si>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</si>
  <si>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</si>
  <si>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</si>
  <si>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</si>
  <si>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</si>
  <si>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</si>
  <si>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</si>
  <si>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</si>
  <si>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</si>
  <si>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</si>
  <si>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</si>
  <si>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</si>
  <si>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</si>
  <si>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</si>
  <si>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</si>
  <si>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</si>
  <si>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</si>
  <si>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</si>
  <si>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</si>
  <si>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</si>
  <si>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</si>
  <si>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</si>
  <si>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</si>
  <si>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</si>
  <si>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</si>
  <si>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</si>
  <si>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</si>
  <si>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</si>
  <si>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</si>
  <si>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</si>
  <si>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</si>
  <si>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</si>
  <si>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</si>
  <si>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</si>
  <si>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</si>
  <si>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</si>
  <si>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</si>
  <si>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</si>
  <si>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</si>
  <si>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</si>
  <si>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</si>
  <si>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</si>
  <si>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</si>
  <si>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</si>
  <si>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</si>
  <si>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</si>
  <si>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</si>
  <si>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</si>
  <si>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</si>
  <si>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</si>
  <si>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</si>
  <si>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</si>
  <si>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</si>
  <si>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</si>
  <si>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</si>
  <si>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</si>
  <si>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</si>
  <si>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</si>
  <si>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</si>
  <si>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</si>
  <si>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</si>
  <si>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</si>
  <si>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</si>
  <si>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</si>
  <si>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</si>
  <si>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</si>
  <si>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</si>
  <si>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</si>
  <si>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</si>
  <si>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</si>
  <si>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</si>
  <si>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</si>
  <si>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</si>
  <si>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</si>
  <si>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</si>
  <si>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</si>
  <si>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</si>
  <si>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</si>
  <si>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</si>
  <si>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</si>
  <si>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</si>
  <si>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</si>
  <si>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</si>
  <si>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</si>
  <si>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</si>
  <si>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</si>
  <si>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</si>
  <si>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</si>
  <si>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</si>
  <si>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</si>
  <si>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</si>
  <si>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</si>
  <si>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</si>
  <si>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</si>
  <si>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</si>
  <si>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</si>
  <si>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</si>
  <si>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</si>
  <si>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</si>
  <si>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</si>
  <si>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</si>
  <si>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</si>
  <si>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</si>
  <si>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</si>
  <si>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</si>
  <si>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</si>
  <si>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</si>
  <si>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</si>
  <si>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</si>
  <si>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</si>
  <si>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</si>
  <si>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</si>
  <si>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</si>
  <si>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</si>
  <si>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</si>
  <si>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</si>
  <si>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</si>
  <si>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</si>
  <si>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</si>
  <si>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</si>
  <si>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</si>
  <si>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</si>
  <si>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</si>
  <si>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</si>
  <si>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</si>
  <si>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</si>
  <si>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</si>
  <si>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</si>
  <si>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</si>
  <si>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</si>
  <si>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</si>
  <si>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</si>
  <si>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</si>
  <si>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</si>
  <si>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</si>
  <si>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</si>
  <si>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</si>
  <si>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</si>
  <si>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</si>
  <si>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</si>
  <si>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</si>
  <si>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</si>
  <si>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</si>
  <si>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</si>
  <si>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</si>
  <si>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</si>
  <si>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</si>
  <si>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</si>
  <si>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</si>
  <si>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</si>
  <si>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</si>
  <si>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</si>
  <si>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</si>
  <si>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</si>
  <si>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</si>
  <si>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</si>
  <si>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</si>
  <si>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</si>
  <si>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</si>
  <si>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</si>
  <si>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</si>
  <si>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</si>
  <si>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</si>
  <si>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</si>
  <si>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</si>
  <si>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</si>
  <si>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</si>
  <si>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</si>
  <si>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</si>
  <si>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</si>
  <si>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</si>
  <si>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</si>
  <si>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</si>
  <si>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</si>
  <si>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</si>
  <si>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</si>
  <si>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</si>
  <si>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</si>
  <si>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</si>
  <si>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</si>
  <si>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</si>
  <si>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</si>
  <si>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</si>
  <si>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</si>
  <si>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</si>
  <si>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</si>
  <si>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</si>
  <si>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</si>
  <si>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</si>
  <si>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</si>
  <si>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</si>
  <si>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</si>
  <si>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</si>
  <si>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</si>
  <si>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</si>
  <si>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</si>
  <si>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</si>
  <si>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</si>
  <si>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</si>
  <si>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CPS(64B)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</si>
  <si>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</si>
  <si>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</si>
  <si>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</si>
  <si>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</si>
  <si>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</si>
  <si>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</si>
  <si>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</si>
  <si>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</si>
  <si>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</si>
  <si>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310 CPS</t>
  </si>
  <si>
    <t>345 CPS</t>
  </si>
  <si>
    <t>Release: 25.4X300-202606240112.0-EVO</t>
  </si>
  <si>
    <t>3050 CPS</t>
  </si>
  <si>
    <t>Release: 25.4X300-202607011007.0-EVO</t>
  </si>
  <si>
    <t>2108 CPS / 1151 Mbps</t>
  </si>
  <si>
    <t>2380 CPS</t>
  </si>
  <si>
    <t>170 CPS / 95 Mbps</t>
  </si>
  <si>
    <t>210 CPS/118 Mbps</t>
  </si>
  <si>
    <t>311 CPS</t>
  </si>
  <si>
    <t>348 CPS</t>
  </si>
  <si>
    <t>Release: 25.4X300-202607080112.0-EVO</t>
  </si>
  <si>
    <t>200 CPS / 110 Mbps</t>
  </si>
  <si>
    <t>649 KPPS / 437 Mbps</t>
  </si>
  <si>
    <t>740 KPPS/497 Mbps</t>
  </si>
  <si>
    <t>308 CPS</t>
  </si>
  <si>
    <t xml:space="preserve">345 CPS </t>
  </si>
  <si>
    <t>Release: 25.4X300-202607130112.0-EVO</t>
  </si>
  <si>
    <t>1620/911 Mbps</t>
  </si>
  <si>
    <t>170 CPS / 100 Mbps</t>
  </si>
  <si>
    <t>654 KPPS / 440 Mbps</t>
  </si>
  <si>
    <t>665 KPPS / 1989 Mbps</t>
  </si>
  <si>
    <t>320 KPPS / 950 Mbps</t>
  </si>
  <si>
    <t>350 KPPS / 1040 Mbps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</si>
  <si>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</si>
  <si>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</si>
  <si>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</si>
  <si>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</si>
  <si>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</si>
  <si>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</si>
  <si>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</si>
  <si>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</si>
  <si>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</si>
  <si>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</si>
  <si>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</si>
  <si>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</si>
  <si>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</si>
  <si>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</si>
  <si>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</si>
  <si>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</si>
  <si>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</si>
  <si>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</si>
  <si>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</si>
  <si>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</si>
  <si>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</si>
  <si>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</si>
  <si>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</si>
  <si>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</si>
  <si>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</si>
  <si>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</si>
  <si>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</si>
  <si>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</si>
  <si>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</si>
  <si>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</si>
  <si>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</si>
  <si>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</si>
  <si>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</si>
  <si>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</si>
  <si>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</si>
  <si>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</si>
  <si>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</si>
  <si>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</si>
  <si>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</si>
  <si>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</si>
  <si>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</si>
  <si>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</si>
  <si>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</si>
  <si>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</si>
  <si>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</si>
  <si>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</si>
  <si>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</si>
  <si>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</si>
  <si>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</si>
  <si>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</si>
  <si>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</si>
  <si>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</si>
  <si>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</si>
  <si>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</si>
  <si>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</si>
  <si>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</si>
  <si>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</si>
  <si>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</si>
  <si>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</si>
  <si>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</si>
  <si>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Data Sheet</t>
  </si>
  <si>
    <t>Features- Branch SRX</t>
  </si>
  <si>
    <t>Firewall- packet mode throughput (IMIX) (Mbps)</t>
  </si>
  <si>
    <r>
      <t>Firewall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</si>
  <si>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Firewall throughput (1518B)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</si>
  <si>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</si>
  <si>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(1400B)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</si>
  <si>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Application Control Performance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 (Mbps)</t>
    </r>
  </si>
  <si>
    <r>
      <t>Next-Generation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 (Mbps)</t>
    </r>
  </si>
  <si>
    <r>
      <t>Secure Web Access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 (Mbps)</t>
    </r>
  </si>
  <si>
    <r>
      <t>Advanced Threat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 (Mbps)</t>
    </r>
  </si>
  <si>
    <t>Connections Per Second (64B)</t>
  </si>
  <si>
    <t>            20,000 </t>
  </si>
  <si>
    <t>            25,000</t>
  </si>
  <si>
    <t>Maximum Concurrent Sessions (IPv4 or IPv6)</t>
  </si>
  <si>
    <t>            65,000 </t>
  </si>
  <si>
    <t>            85,000</t>
  </si>
  <si>
    <t>Route table size (RIB/FIB) (IPv4)</t>
  </si>
  <si>
    <t>300K/150K</t>
  </si>
  <si>
    <t>350K/175K</t>
  </si>
  <si>
    <t>IPSec VPN tunnels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</si>
</sst>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9" fillId="0" borderId="0" xfId="0" applyFont="1" applyAlignment="1">
      <alignment horizontal="center"/>
    </xf>
    <xf numFmtId="0" fontId="26" fillId="0" borderId="0" xfId="0" applyFont="1"/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baseColWidth="10" defaultColWidth="11.5" defaultRowHeight="15" x14ac:dyDescent="0.2"/>
  <cols>
    <col min="1" max="1" width="10.6640625" bestFit="1" customWidth="1"/>
    <col min="2" max="2" width="97.5" customWidth="1"/>
    <col min="3" max="3" width="32.6640625" bestFit="1" customWidth="1"/>
    <col min="4" max="4" width="23.33203125" customWidth="1"/>
    <col min="5" max="5" width="16.83203125" customWidth="1"/>
    <col min="6" max="6" width="9.5" bestFit="1" customWidth="1"/>
    <col min="7" max="7" width="46.83203125" customWidth="1"/>
    <col min="8" max="8" width="22.1640625" customWidth="1"/>
    <col min="9" max="9" width="15.6640625" customWidth="1"/>
  </cols>
  <sheetData>
    <row r="1" spans="1:9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 x14ac:dyDescent="0.2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 x14ac:dyDescent="0.2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 x14ac:dyDescent="0.2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 x14ac:dyDescent="0.2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 x14ac:dyDescent="0.2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 x14ac:dyDescent="0.2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 x14ac:dyDescent="0.2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 x14ac:dyDescent="0.2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 x14ac:dyDescent="0.2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 x14ac:dyDescent="0.2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 x14ac:dyDescent="0.2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 x14ac:dyDescent="0.2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 x14ac:dyDescent="0.2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 x14ac:dyDescent="0.2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 x14ac:dyDescent="0.2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 x14ac:dyDescent="0.2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 x14ac:dyDescent="0.2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 x14ac:dyDescent="0.2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 x14ac:dyDescent="0.2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 x14ac:dyDescent="0.2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 x14ac:dyDescent="0.2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 x14ac:dyDescent="0.2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 x14ac:dyDescent="0.2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 x14ac:dyDescent="0.2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 x14ac:dyDescent="0.2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 x14ac:dyDescent="0.2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 x14ac:dyDescent="0.2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 x14ac:dyDescent="0.2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 x14ac:dyDescent="0.2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 x14ac:dyDescent="0.2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 x14ac:dyDescent="0.2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 x14ac:dyDescent="0.2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 x14ac:dyDescent="0.2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 x14ac:dyDescent="0.2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 x14ac:dyDescent="0.2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 x14ac:dyDescent="0.2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 x14ac:dyDescent="0.2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 x14ac:dyDescent="0.2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 x14ac:dyDescent="0.2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 x14ac:dyDescent="0.2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 x14ac:dyDescent="0.2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 x14ac:dyDescent="0.2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 x14ac:dyDescent="0.2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 x14ac:dyDescent="0.2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 x14ac:dyDescent="0.2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 x14ac:dyDescent="0.2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 x14ac:dyDescent="0.2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 x14ac:dyDescent="0.2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 x14ac:dyDescent="0.2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 x14ac:dyDescent="0.2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 x14ac:dyDescent="0.2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 x14ac:dyDescent="0.2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 x14ac:dyDescent="0.2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 x14ac:dyDescent="0.2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 x14ac:dyDescent="0.2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 x14ac:dyDescent="0.2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 x14ac:dyDescent="0.2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 x14ac:dyDescent="0.2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 x14ac:dyDescent="0.2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 x14ac:dyDescent="0.2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 x14ac:dyDescent="0.2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 x14ac:dyDescent="0.2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 x14ac:dyDescent="0.2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 x14ac:dyDescent="0.2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 x14ac:dyDescent="0.2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 x14ac:dyDescent="0.2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 x14ac:dyDescent="0.2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 x14ac:dyDescent="0.2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 x14ac:dyDescent="0.2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 x14ac:dyDescent="0.2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 x14ac:dyDescent="0.2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 x14ac:dyDescent="0.2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 x14ac:dyDescent="0.2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 x14ac:dyDescent="0.2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 x14ac:dyDescent="0.2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 x14ac:dyDescent="0.2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 x14ac:dyDescent="0.2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 x14ac:dyDescent="0.2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 x14ac:dyDescent="0.2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 x14ac:dyDescent="0.2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 x14ac:dyDescent="0.2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 x14ac:dyDescent="0.2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 x14ac:dyDescent="0.2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 x14ac:dyDescent="0.2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 x14ac:dyDescent="0.2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 x14ac:dyDescent="0.2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 x14ac:dyDescent="0.2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 x14ac:dyDescent="0.2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 x14ac:dyDescent="0.2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 x14ac:dyDescent="0.2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 x14ac:dyDescent="0.2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 x14ac:dyDescent="0.2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 x14ac:dyDescent="0.2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 x14ac:dyDescent="0.2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 x14ac:dyDescent="0.2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 x14ac:dyDescent="0.2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 x14ac:dyDescent="0.2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 x14ac:dyDescent="0.2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 x14ac:dyDescent="0.2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 x14ac:dyDescent="0.2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 x14ac:dyDescent="0.2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 x14ac:dyDescent="0.2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 x14ac:dyDescent="0.2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 x14ac:dyDescent="0.2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 x14ac:dyDescent="0.2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 x14ac:dyDescent="0.2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 x14ac:dyDescent="0.2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 x14ac:dyDescent="0.2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 x14ac:dyDescent="0.2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 x14ac:dyDescent="0.2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 x14ac:dyDescent="0.2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 x14ac:dyDescent="0.2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 x14ac:dyDescent="0.2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 x14ac:dyDescent="0.2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 x14ac:dyDescent="0.2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 x14ac:dyDescent="0.2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 x14ac:dyDescent="0.2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 x14ac:dyDescent="0.2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 x14ac:dyDescent="0.2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 x14ac:dyDescent="0.2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 x14ac:dyDescent="0.2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 x14ac:dyDescent="0.2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 x14ac:dyDescent="0.2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 x14ac:dyDescent="0.2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 x14ac:dyDescent="0.2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 x14ac:dyDescent="0.2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 x14ac:dyDescent="0.2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 x14ac:dyDescent="0.2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 x14ac:dyDescent="0.2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 x14ac:dyDescent="0.2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 x14ac:dyDescent="0.2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 x14ac:dyDescent="0.2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 x14ac:dyDescent="0.2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 x14ac:dyDescent="0.2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 x14ac:dyDescent="0.2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 x14ac:dyDescent="0.2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 x14ac:dyDescent="0.2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 x14ac:dyDescent="0.2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 x14ac:dyDescent="0.2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 x14ac:dyDescent="0.2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 x14ac:dyDescent="0.2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 x14ac:dyDescent="0.2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 x14ac:dyDescent="0.2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 x14ac:dyDescent="0.2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 x14ac:dyDescent="0.2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 x14ac:dyDescent="0.2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 x14ac:dyDescent="0.2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 x14ac:dyDescent="0.2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 x14ac:dyDescent="0.2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 x14ac:dyDescent="0.2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 x14ac:dyDescent="0.2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 x14ac:dyDescent="0.2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 x14ac:dyDescent="0.2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 x14ac:dyDescent="0.2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 x14ac:dyDescent="0.2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 x14ac:dyDescent="0.2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 x14ac:dyDescent="0.2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 x14ac:dyDescent="0.2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 x14ac:dyDescent="0.2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 x14ac:dyDescent="0.2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 x14ac:dyDescent="0.2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 x14ac:dyDescent="0.2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 x14ac:dyDescent="0.2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 x14ac:dyDescent="0.2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 x14ac:dyDescent="0.2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 x14ac:dyDescent="0.2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 x14ac:dyDescent="0.2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 x14ac:dyDescent="0.2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 x14ac:dyDescent="0.2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 x14ac:dyDescent="0.2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 x14ac:dyDescent="0.2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 x14ac:dyDescent="0.2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 x14ac:dyDescent="0.2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 x14ac:dyDescent="0.2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 x14ac:dyDescent="0.2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 x14ac:dyDescent="0.2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 x14ac:dyDescent="0.2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 x14ac:dyDescent="0.2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 x14ac:dyDescent="0.2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 x14ac:dyDescent="0.2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 x14ac:dyDescent="0.2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 x14ac:dyDescent="0.2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 x14ac:dyDescent="0.2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 x14ac:dyDescent="0.2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 x14ac:dyDescent="0.2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 x14ac:dyDescent="0.2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 x14ac:dyDescent="0.2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 x14ac:dyDescent="0.2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 x14ac:dyDescent="0.2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 x14ac:dyDescent="0.2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 x14ac:dyDescent="0.2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 x14ac:dyDescent="0.2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 x14ac:dyDescent="0.2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 x14ac:dyDescent="0.2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 x14ac:dyDescent="0.2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 x14ac:dyDescent="0.2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 x14ac:dyDescent="0.2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 x14ac:dyDescent="0.2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 x14ac:dyDescent="0.2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 x14ac:dyDescent="0.2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 x14ac:dyDescent="0.2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 x14ac:dyDescent="0.2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 x14ac:dyDescent="0.2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 x14ac:dyDescent="0.2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 x14ac:dyDescent="0.2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 x14ac:dyDescent="0.2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 x14ac:dyDescent="0.2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 x14ac:dyDescent="0.2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 x14ac:dyDescent="0.2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 x14ac:dyDescent="0.2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 x14ac:dyDescent="0.2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 x14ac:dyDescent="0.2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 x14ac:dyDescent="0.2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 x14ac:dyDescent="0.2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 x14ac:dyDescent="0.2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 x14ac:dyDescent="0.2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 x14ac:dyDescent="0.2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 x14ac:dyDescent="0.2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 x14ac:dyDescent="0.2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 x14ac:dyDescent="0.2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 x14ac:dyDescent="0.2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 x14ac:dyDescent="0.2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 x14ac:dyDescent="0.2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J105"/>
  <sheetViews>
    <sheetView topLeftCell="A46" zoomScale="150" workbookViewId="0">
      <selection activeCell="J50" sqref="J50"/>
    </sheetView>
  </sheetViews>
  <sheetFormatPr baseColWidth="10" defaultColWidth="8.83203125" defaultRowHeight="15" customHeight="1" x14ac:dyDescent="0.2"/>
  <cols>
    <col min="1" max="1" width="87.83203125" customWidth="1"/>
    <col min="2" max="2" width="35.83203125" style="5" customWidth="1"/>
    <col min="3" max="3" width="19.5" style="5" customWidth="1"/>
    <col min="4" max="4" width="41.5" style="5" customWidth="1"/>
    <col min="5" max="5" width="26" customWidth="1"/>
  </cols>
  <sheetData>
    <row r="1" spans="1:5" ht="57" customHeight="1" x14ac:dyDescent="0.25">
      <c r="A1" s="50" t="s">
        <v>146</v>
      </c>
      <c r="B1" s="105" t="s">
        <v>147</v>
      </c>
      <c r="C1" s="106"/>
      <c r="D1" s="36" t="s">
        <v>148</v>
      </c>
      <c r="E1" s="17"/>
    </row>
    <row r="2" spans="1:5" ht="32.25" customHeight="1" x14ac:dyDescent="0.25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 x14ac:dyDescent="0.2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5" customHeight="1" x14ac:dyDescent="0.2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5" customHeight="1" x14ac:dyDescent="0.2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 x14ac:dyDescent="0.2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5" customHeight="1" x14ac:dyDescent="0.2">
      <c r="A7" s="2" t="s">
        <v>162</v>
      </c>
      <c r="B7" s="4" t="s">
        <v>163</v>
      </c>
      <c r="C7" s="4">
        <v>95</v>
      </c>
      <c r="D7" s="57">
        <v>70</v>
      </c>
    </row>
    <row r="8" spans="1:5" ht="14" customHeight="1" x14ac:dyDescent="0.2">
      <c r="A8" s="2" t="s">
        <v>164</v>
      </c>
      <c r="B8" s="4" t="s">
        <v>165</v>
      </c>
      <c r="C8" s="4">
        <v>91</v>
      </c>
      <c r="D8" s="4">
        <v>72</v>
      </c>
    </row>
    <row r="9" spans="1:5" ht="16" x14ac:dyDescent="0.2">
      <c r="A9" s="2" t="s">
        <v>166</v>
      </c>
      <c r="B9" s="4" t="s">
        <v>167</v>
      </c>
      <c r="C9" s="4">
        <v>96</v>
      </c>
      <c r="D9" s="57">
        <v>73</v>
      </c>
    </row>
    <row r="10" spans="1:5" ht="16" x14ac:dyDescent="0.2">
      <c r="A10" s="2" t="s">
        <v>168</v>
      </c>
      <c r="B10" s="4" t="s">
        <v>169</v>
      </c>
      <c r="C10" s="4">
        <v>93</v>
      </c>
      <c r="D10" s="4">
        <v>74</v>
      </c>
    </row>
    <row r="11" spans="1:5" ht="16" x14ac:dyDescent="0.2">
      <c r="A11" s="2" t="s">
        <v>170</v>
      </c>
      <c r="B11" s="4" t="s">
        <v>171</v>
      </c>
      <c r="C11" s="4">
        <v>93</v>
      </c>
      <c r="D11" s="4">
        <v>74</v>
      </c>
    </row>
    <row r="12" spans="1:5" ht="16" x14ac:dyDescent="0.2">
      <c r="A12" s="2" t="s">
        <v>172</v>
      </c>
      <c r="B12" s="1" t="s">
        <v>173</v>
      </c>
      <c r="C12" s="1">
        <v>93</v>
      </c>
      <c r="D12" s="57">
        <v>45</v>
      </c>
    </row>
    <row r="13" spans="1:5" ht="16" x14ac:dyDescent="0.2">
      <c r="A13" s="2" t="s">
        <v>174</v>
      </c>
      <c r="B13" s="4" t="s">
        <v>175</v>
      </c>
      <c r="C13" s="1">
        <v>94</v>
      </c>
      <c r="D13" s="4">
        <v>76</v>
      </c>
    </row>
    <row r="14" spans="1:5" ht="16" x14ac:dyDescent="0.2">
      <c r="A14" s="2" t="s">
        <v>176</v>
      </c>
      <c r="B14" s="4" t="s">
        <v>177</v>
      </c>
      <c r="C14" s="4">
        <v>95</v>
      </c>
      <c r="D14" s="4">
        <v>76</v>
      </c>
    </row>
    <row r="15" spans="1:5" ht="16" x14ac:dyDescent="0.2">
      <c r="A15" s="2" t="s">
        <v>178</v>
      </c>
      <c r="B15" s="4" t="s">
        <v>179</v>
      </c>
      <c r="C15" s="1">
        <v>95</v>
      </c>
      <c r="D15" s="4">
        <v>76</v>
      </c>
    </row>
    <row r="16" spans="1:5" ht="16" x14ac:dyDescent="0.2">
      <c r="A16" s="3" t="s">
        <v>180</v>
      </c>
      <c r="B16" s="4" t="s">
        <v>181</v>
      </c>
      <c r="C16" s="46">
        <v>94</v>
      </c>
      <c r="D16" s="4">
        <v>73</v>
      </c>
    </row>
    <row r="17" spans="1:5" ht="16" x14ac:dyDescent="0.2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 x14ac:dyDescent="0.25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6" x14ac:dyDescent="0.2">
      <c r="A19" s="22" t="s">
        <v>185</v>
      </c>
      <c r="B19" s="44" t="s">
        <v>186</v>
      </c>
      <c r="C19" s="27">
        <v>85</v>
      </c>
      <c r="D19" s="54">
        <v>41</v>
      </c>
    </row>
    <row r="20" spans="1:5" ht="16" x14ac:dyDescent="0.2">
      <c r="A20" s="2" t="s">
        <v>187</v>
      </c>
      <c r="B20" s="6" t="s">
        <v>188</v>
      </c>
      <c r="C20" s="23">
        <v>90</v>
      </c>
      <c r="D20" s="56">
        <v>59</v>
      </c>
    </row>
    <row r="21" spans="1:5" ht="16" x14ac:dyDescent="0.2">
      <c r="A21" s="2" t="s">
        <v>189</v>
      </c>
      <c r="B21" s="6" t="s">
        <v>190</v>
      </c>
      <c r="C21" s="10">
        <v>92</v>
      </c>
      <c r="D21" s="56">
        <v>69</v>
      </c>
    </row>
    <row r="22" spans="1:5" ht="16" x14ac:dyDescent="0.2">
      <c r="A22" s="2" t="s">
        <v>191</v>
      </c>
      <c r="B22" s="6" t="s">
        <v>192</v>
      </c>
      <c r="C22" s="10">
        <v>90</v>
      </c>
      <c r="D22" s="56">
        <v>69</v>
      </c>
    </row>
    <row r="23" spans="1:5" ht="16" x14ac:dyDescent="0.2">
      <c r="A23" s="2" t="s">
        <v>193</v>
      </c>
      <c r="B23" s="6" t="s">
        <v>194</v>
      </c>
      <c r="C23" s="10">
        <v>90</v>
      </c>
      <c r="D23" s="56">
        <v>69</v>
      </c>
    </row>
    <row r="24" spans="1:5" ht="16" x14ac:dyDescent="0.2">
      <c r="A24" s="2" t="s">
        <v>195</v>
      </c>
      <c r="B24" s="6" t="s">
        <v>196</v>
      </c>
      <c r="C24" s="10">
        <v>95</v>
      </c>
      <c r="D24" s="56">
        <v>55</v>
      </c>
    </row>
    <row r="25" spans="1:5" ht="16" x14ac:dyDescent="0.2">
      <c r="A25" s="2" t="s">
        <v>197</v>
      </c>
      <c r="B25" s="6" t="s">
        <v>198</v>
      </c>
      <c r="C25" s="10">
        <v>91</v>
      </c>
      <c r="D25" s="56">
        <v>55</v>
      </c>
    </row>
    <row r="26" spans="1:5" ht="16" x14ac:dyDescent="0.2">
      <c r="A26" s="2" t="s">
        <v>199</v>
      </c>
      <c r="B26" s="6" t="s">
        <v>200</v>
      </c>
      <c r="C26" s="10">
        <v>93</v>
      </c>
      <c r="D26" s="56">
        <v>59</v>
      </c>
    </row>
    <row r="27" spans="1:5" ht="16" x14ac:dyDescent="0.2">
      <c r="A27" s="2" t="s">
        <v>201</v>
      </c>
      <c r="B27" s="6" t="s">
        <v>202</v>
      </c>
      <c r="C27" s="10">
        <v>92</v>
      </c>
      <c r="D27" s="56">
        <v>56</v>
      </c>
    </row>
    <row r="28" spans="1:5" ht="16" x14ac:dyDescent="0.2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 x14ac:dyDescent="0.25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6" x14ac:dyDescent="0.2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6" x14ac:dyDescent="0.2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6" x14ac:dyDescent="0.2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5" customHeight="1" x14ac:dyDescent="0.2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 x14ac:dyDescent="0.25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6" x14ac:dyDescent="0.2">
      <c r="A35" s="2" t="s">
        <v>215</v>
      </c>
      <c r="B35" s="4" t="s">
        <v>216</v>
      </c>
      <c r="C35" s="48">
        <v>90</v>
      </c>
      <c r="D35" s="62">
        <v>34</v>
      </c>
    </row>
    <row r="36" spans="1:5" ht="16" x14ac:dyDescent="0.2">
      <c r="A36" s="2" t="s">
        <v>217</v>
      </c>
      <c r="B36" s="4">
        <v>19330</v>
      </c>
      <c r="C36" s="4">
        <v>92</v>
      </c>
      <c r="D36" s="62">
        <v>42</v>
      </c>
    </row>
    <row r="37" spans="1:5" ht="15.5" customHeight="1" x14ac:dyDescent="0.2">
      <c r="A37" s="2" t="s">
        <v>218</v>
      </c>
      <c r="B37" s="4">
        <v>10000</v>
      </c>
      <c r="C37" s="4">
        <v>90</v>
      </c>
      <c r="D37" s="58">
        <v>38</v>
      </c>
    </row>
    <row r="38" spans="1:5" ht="16" x14ac:dyDescent="0.2">
      <c r="A38" s="2" t="s">
        <v>219</v>
      </c>
      <c r="B38" s="4">
        <v>2400</v>
      </c>
      <c r="C38" s="4">
        <v>90</v>
      </c>
      <c r="D38" s="58">
        <v>40</v>
      </c>
    </row>
    <row r="39" spans="1:5" ht="16" x14ac:dyDescent="0.2">
      <c r="A39" s="22" t="s">
        <v>220</v>
      </c>
      <c r="B39" s="15">
        <v>2250</v>
      </c>
      <c r="C39" s="15">
        <v>96</v>
      </c>
      <c r="D39" s="15">
        <v>76</v>
      </c>
    </row>
    <row r="40" spans="1:5" ht="16" x14ac:dyDescent="0.2">
      <c r="A40" s="22" t="s">
        <v>221</v>
      </c>
      <c r="B40" s="45">
        <v>975</v>
      </c>
      <c r="C40" s="45">
        <v>86</v>
      </c>
      <c r="D40" s="15">
        <v>48</v>
      </c>
    </row>
    <row r="41" spans="1:5" ht="16" x14ac:dyDescent="0.2">
      <c r="A41" s="2" t="s">
        <v>222</v>
      </c>
      <c r="B41" s="4">
        <v>1550</v>
      </c>
      <c r="C41" s="4">
        <v>88</v>
      </c>
      <c r="D41" s="4">
        <v>41</v>
      </c>
    </row>
    <row r="42" spans="1:5" ht="16" x14ac:dyDescent="0.2">
      <c r="A42" s="2" t="s">
        <v>223</v>
      </c>
      <c r="B42" s="4">
        <v>400</v>
      </c>
      <c r="C42" s="1">
        <v>97</v>
      </c>
      <c r="D42" s="4">
        <v>74</v>
      </c>
    </row>
    <row r="43" spans="1:5" ht="16" x14ac:dyDescent="0.2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 x14ac:dyDescent="0.25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5" customHeight="1" x14ac:dyDescent="0.2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5" customHeight="1" x14ac:dyDescent="0.2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6" x14ac:dyDescent="0.2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6" x14ac:dyDescent="0.2">
      <c r="A48" s="2" t="s">
        <v>233</v>
      </c>
      <c r="B48" s="4" t="s">
        <v>234</v>
      </c>
      <c r="C48" s="23">
        <v>98</v>
      </c>
      <c r="D48" s="57" t="s">
        <v>235</v>
      </c>
    </row>
    <row r="49" spans="1:10" ht="16" x14ac:dyDescent="0.2">
      <c r="A49" s="2" t="s">
        <v>236</v>
      </c>
      <c r="B49" s="4" t="s">
        <v>237</v>
      </c>
      <c r="C49" s="23">
        <v>50</v>
      </c>
      <c r="D49" s="56"/>
      <c r="I49">
        <v>940</v>
      </c>
      <c r="J49">
        <v>95</v>
      </c>
    </row>
    <row r="50" spans="1:10" ht="16" x14ac:dyDescent="0.2">
      <c r="A50" s="8" t="s">
        <v>238</v>
      </c>
      <c r="B50" s="4" t="s">
        <v>239</v>
      </c>
      <c r="C50" s="23">
        <v>99</v>
      </c>
      <c r="D50" s="24" t="s">
        <v>228</v>
      </c>
      <c r="I50">
        <v>650</v>
      </c>
    </row>
    <row r="51" spans="1:10" ht="16.25" customHeight="1" x14ac:dyDescent="0.2">
      <c r="A51" s="8" t="s">
        <v>240</v>
      </c>
      <c r="B51" s="7" t="s">
        <v>241</v>
      </c>
      <c r="C51" s="32">
        <v>98</v>
      </c>
      <c r="D51" s="24" t="s">
        <v>228</v>
      </c>
    </row>
    <row r="52" spans="1:10" ht="15.5" customHeight="1" x14ac:dyDescent="0.2">
      <c r="A52" s="8" t="s">
        <v>242</v>
      </c>
      <c r="B52" s="4" t="s">
        <v>243</v>
      </c>
      <c r="C52" s="23">
        <v>99</v>
      </c>
      <c r="D52" s="24"/>
    </row>
    <row r="53" spans="1:10" ht="16.25" customHeight="1" x14ac:dyDescent="0.2">
      <c r="A53" s="8" t="s">
        <v>244</v>
      </c>
      <c r="B53" s="15" t="s">
        <v>245</v>
      </c>
      <c r="C53" s="31">
        <v>99</v>
      </c>
      <c r="D53" s="24" t="s">
        <v>228</v>
      </c>
    </row>
    <row r="54" spans="1:10" ht="16" x14ac:dyDescent="0.2">
      <c r="A54" s="18" t="s">
        <v>246</v>
      </c>
      <c r="B54" s="4" t="s">
        <v>247</v>
      </c>
      <c r="C54" s="23">
        <v>98</v>
      </c>
      <c r="D54" s="57" t="s">
        <v>248</v>
      </c>
    </row>
    <row r="55" spans="1:10" ht="16" x14ac:dyDescent="0.2">
      <c r="A55" s="19" t="s">
        <v>249</v>
      </c>
      <c r="B55" s="4" t="s">
        <v>250</v>
      </c>
      <c r="C55" s="23">
        <v>98</v>
      </c>
      <c r="D55" s="57" t="s">
        <v>251</v>
      </c>
    </row>
    <row r="56" spans="1:10" ht="17" customHeight="1" x14ac:dyDescent="0.2">
      <c r="A56" s="19" t="s">
        <v>252</v>
      </c>
      <c r="B56" s="4" t="s">
        <v>253</v>
      </c>
      <c r="C56" s="23">
        <v>99</v>
      </c>
      <c r="D56" s="57" t="s">
        <v>254</v>
      </c>
    </row>
    <row r="57" spans="1:10" ht="16" x14ac:dyDescent="0.2">
      <c r="A57" s="9" t="s">
        <v>255</v>
      </c>
      <c r="B57" s="4" t="s">
        <v>256</v>
      </c>
      <c r="C57" s="23">
        <v>98</v>
      </c>
      <c r="D57" s="24" t="s">
        <v>228</v>
      </c>
    </row>
    <row r="58" spans="1:10" ht="17.25" customHeight="1" x14ac:dyDescent="0.2">
      <c r="A58" s="2" t="s">
        <v>257</v>
      </c>
      <c r="B58" s="4" t="s">
        <v>258</v>
      </c>
      <c r="C58" s="23">
        <v>80</v>
      </c>
      <c r="D58" s="57" t="s">
        <v>259</v>
      </c>
    </row>
    <row r="59" spans="1:10" ht="16" x14ac:dyDescent="0.2">
      <c r="A59" s="2" t="s">
        <v>260</v>
      </c>
      <c r="B59" s="4" t="s">
        <v>261</v>
      </c>
      <c r="C59" s="23">
        <v>80</v>
      </c>
      <c r="D59" s="57" t="s">
        <v>259</v>
      </c>
    </row>
    <row r="60" spans="1:10" ht="19.5" customHeight="1" x14ac:dyDescent="0.2">
      <c r="A60" s="2" t="s">
        <v>262</v>
      </c>
      <c r="B60" s="4" t="s">
        <v>263</v>
      </c>
      <c r="C60" s="23">
        <v>80</v>
      </c>
      <c r="D60" s="57" t="s">
        <v>259</v>
      </c>
    </row>
    <row r="61" spans="1:10" ht="18.75" customHeight="1" x14ac:dyDescent="0.2">
      <c r="A61" s="2" t="s">
        <v>264</v>
      </c>
      <c r="B61" s="4" t="s">
        <v>265</v>
      </c>
      <c r="C61" s="23">
        <v>78</v>
      </c>
      <c r="D61" s="57" t="s">
        <v>259</v>
      </c>
    </row>
    <row r="62" spans="1:10" ht="17.5" customHeight="1" x14ac:dyDescent="0.2">
      <c r="A62" s="2" t="s">
        <v>266</v>
      </c>
      <c r="B62" s="4" t="s">
        <v>267</v>
      </c>
      <c r="C62" s="23">
        <v>85</v>
      </c>
      <c r="D62" s="57" t="s">
        <v>268</v>
      </c>
    </row>
    <row r="63" spans="1:10" ht="18" customHeight="1" x14ac:dyDescent="0.2">
      <c r="A63" s="2" t="s">
        <v>269</v>
      </c>
      <c r="B63" s="5" t="s">
        <v>270</v>
      </c>
      <c r="C63" s="23">
        <v>44</v>
      </c>
      <c r="D63" s="57"/>
    </row>
    <row r="64" spans="1:10" ht="18" customHeight="1" x14ac:dyDescent="0.2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 x14ac:dyDescent="0.2">
      <c r="A65" s="3" t="s">
        <v>274</v>
      </c>
      <c r="B65" s="6" t="s">
        <v>275</v>
      </c>
      <c r="C65" s="51"/>
      <c r="D65" s="56"/>
    </row>
    <row r="66" spans="1:4" ht="18" customHeight="1" x14ac:dyDescent="0.25">
      <c r="A66" s="28" t="s">
        <v>276</v>
      </c>
      <c r="B66" s="20" t="s">
        <v>277</v>
      </c>
      <c r="C66" s="30" t="s">
        <v>151</v>
      </c>
      <c r="D66" s="65"/>
    </row>
    <row r="67" spans="1:4" ht="16" x14ac:dyDescent="0.2">
      <c r="A67" s="2" t="s">
        <v>278</v>
      </c>
      <c r="B67" s="24">
        <v>48</v>
      </c>
      <c r="C67" s="10">
        <v>10</v>
      </c>
      <c r="D67" s="56">
        <v>75</v>
      </c>
    </row>
    <row r="68" spans="1:4" ht="16" x14ac:dyDescent="0.2">
      <c r="A68" s="2" t="s">
        <v>279</v>
      </c>
      <c r="B68" s="24">
        <v>1500</v>
      </c>
      <c r="C68" s="10">
        <v>10</v>
      </c>
      <c r="D68" s="56">
        <v>75</v>
      </c>
    </row>
    <row r="69" spans="1:4" ht="16" x14ac:dyDescent="0.2">
      <c r="A69" s="2" t="s">
        <v>280</v>
      </c>
      <c r="B69" s="24">
        <v>2550</v>
      </c>
      <c r="C69" s="10">
        <v>10</v>
      </c>
      <c r="D69" s="56">
        <v>81</v>
      </c>
    </row>
    <row r="70" spans="1:4" ht="16" x14ac:dyDescent="0.2">
      <c r="A70" s="2" t="s">
        <v>281</v>
      </c>
      <c r="B70" s="24">
        <v>48</v>
      </c>
      <c r="C70" s="10">
        <v>10</v>
      </c>
      <c r="D70" s="56">
        <v>75</v>
      </c>
    </row>
    <row r="71" spans="1:4" ht="16" x14ac:dyDescent="0.2">
      <c r="A71" s="2" t="s">
        <v>282</v>
      </c>
      <c r="B71" s="24">
        <v>1500</v>
      </c>
      <c r="C71" s="10">
        <v>10</v>
      </c>
      <c r="D71" s="56">
        <v>75</v>
      </c>
    </row>
    <row r="72" spans="1:4" ht="16" x14ac:dyDescent="0.2">
      <c r="A72" s="2" t="s">
        <v>283</v>
      </c>
      <c r="B72" s="5">
        <v>1280</v>
      </c>
      <c r="C72" s="10">
        <v>10</v>
      </c>
      <c r="D72" s="56">
        <v>77</v>
      </c>
    </row>
    <row r="73" spans="1:4" ht="16" x14ac:dyDescent="0.2">
      <c r="A73" s="2" t="s">
        <v>284</v>
      </c>
      <c r="B73" s="24">
        <v>32</v>
      </c>
      <c r="C73" s="10">
        <v>10</v>
      </c>
      <c r="D73" s="56">
        <v>77</v>
      </c>
    </row>
    <row r="74" spans="1:4" ht="16" x14ac:dyDescent="0.2">
      <c r="A74" s="2" t="s">
        <v>285</v>
      </c>
      <c r="B74" s="24">
        <v>102</v>
      </c>
      <c r="C74" s="10">
        <v>5</v>
      </c>
      <c r="D74" s="56">
        <v>75</v>
      </c>
    </row>
    <row r="75" spans="1:4" ht="16" x14ac:dyDescent="0.2">
      <c r="A75" s="2" t="s">
        <v>286</v>
      </c>
      <c r="B75" s="24">
        <v>1020</v>
      </c>
      <c r="C75" s="10">
        <v>10</v>
      </c>
      <c r="D75" s="56">
        <v>78</v>
      </c>
    </row>
    <row r="76" spans="1:4" ht="16" x14ac:dyDescent="0.2">
      <c r="A76" s="2" t="s">
        <v>287</v>
      </c>
      <c r="B76" s="24">
        <v>2000</v>
      </c>
      <c r="C76" s="10">
        <v>40</v>
      </c>
      <c r="D76" s="56">
        <v>80</v>
      </c>
    </row>
    <row r="77" spans="1:4" ht="16" x14ac:dyDescent="0.2">
      <c r="A77" s="2" t="s">
        <v>288</v>
      </c>
      <c r="B77" s="68">
        <v>1024</v>
      </c>
      <c r="C77" s="10">
        <v>10</v>
      </c>
      <c r="D77" s="56">
        <v>77</v>
      </c>
    </row>
    <row r="78" spans="1:4" ht="16" x14ac:dyDescent="0.2">
      <c r="A78" s="2" t="s">
        <v>289</v>
      </c>
      <c r="B78" s="24">
        <v>1280</v>
      </c>
      <c r="C78" s="10">
        <v>10</v>
      </c>
      <c r="D78" s="56">
        <v>77</v>
      </c>
    </row>
    <row r="79" spans="1:4" ht="16" x14ac:dyDescent="0.2">
      <c r="A79" s="2" t="s">
        <v>290</v>
      </c>
      <c r="B79" s="24">
        <v>1280</v>
      </c>
      <c r="C79" s="10">
        <v>10</v>
      </c>
      <c r="D79" s="56">
        <v>77</v>
      </c>
    </row>
    <row r="80" spans="1:4" ht="16" x14ac:dyDescent="0.2">
      <c r="A80" s="2" t="s">
        <v>291</v>
      </c>
      <c r="B80" s="24">
        <v>128</v>
      </c>
      <c r="C80" s="10"/>
      <c r="D80" s="56"/>
    </row>
    <row r="81" spans="1:4" ht="16" x14ac:dyDescent="0.2">
      <c r="A81" s="2" t="s">
        <v>292</v>
      </c>
      <c r="B81" s="24">
        <v>1750</v>
      </c>
      <c r="C81" s="32"/>
      <c r="D81" s="56"/>
    </row>
    <row r="82" spans="1:4" ht="16" x14ac:dyDescent="0.2">
      <c r="A82" s="2" t="s">
        <v>293</v>
      </c>
      <c r="B82" s="33"/>
      <c r="C82" s="23"/>
      <c r="D82" s="56"/>
    </row>
    <row r="83" spans="1:4" ht="16" x14ac:dyDescent="0.2">
      <c r="A83" s="2" t="s">
        <v>294</v>
      </c>
      <c r="B83" s="24"/>
      <c r="C83" s="10"/>
      <c r="D83" s="56"/>
    </row>
    <row r="84" spans="1:4" ht="16" x14ac:dyDescent="0.2">
      <c r="A84" s="2" t="s">
        <v>295</v>
      </c>
      <c r="B84" s="24">
        <v>128</v>
      </c>
      <c r="C84" s="10">
        <v>10</v>
      </c>
      <c r="D84" s="56">
        <v>77</v>
      </c>
    </row>
    <row r="85" spans="1:4" ht="16" x14ac:dyDescent="0.2">
      <c r="A85" s="2" t="s">
        <v>296</v>
      </c>
      <c r="B85" s="10" t="s">
        <v>297</v>
      </c>
      <c r="C85" s="10">
        <v>10</v>
      </c>
      <c r="D85" s="51">
        <v>85</v>
      </c>
    </row>
    <row r="86" spans="1:4" ht="16" x14ac:dyDescent="0.2">
      <c r="A86" s="2" t="s">
        <v>298</v>
      </c>
      <c r="B86" s="10" t="s">
        <v>299</v>
      </c>
      <c r="C86" s="10">
        <v>10</v>
      </c>
      <c r="D86" s="56">
        <v>85</v>
      </c>
    </row>
    <row r="87" spans="1:4" ht="16" x14ac:dyDescent="0.2">
      <c r="A87" s="2" t="s">
        <v>300</v>
      </c>
      <c r="B87" s="24"/>
      <c r="C87" s="10"/>
      <c r="D87" s="56"/>
    </row>
    <row r="88" spans="1:4" ht="16" x14ac:dyDescent="0.2">
      <c r="A88" s="2" t="s">
        <v>301</v>
      </c>
      <c r="B88" s="24"/>
      <c r="C88" s="10"/>
      <c r="D88" s="56"/>
    </row>
    <row r="89" spans="1:4" ht="16" x14ac:dyDescent="0.2">
      <c r="A89" s="2" t="s">
        <v>302</v>
      </c>
      <c r="B89" s="24"/>
      <c r="C89" s="10"/>
      <c r="D89" s="56"/>
    </row>
    <row r="90" spans="1:4" ht="16" x14ac:dyDescent="0.2">
      <c r="A90" s="2" t="s">
        <v>303</v>
      </c>
      <c r="B90" s="10">
        <v>80000</v>
      </c>
      <c r="C90" s="10">
        <v>55</v>
      </c>
      <c r="D90" s="56">
        <v>35</v>
      </c>
    </row>
    <row r="91" spans="1:4" ht="16" x14ac:dyDescent="0.2">
      <c r="A91" s="2" t="s">
        <v>304</v>
      </c>
      <c r="B91" s="24">
        <v>80000</v>
      </c>
      <c r="C91" s="10">
        <v>60</v>
      </c>
      <c r="D91" s="56">
        <v>37</v>
      </c>
    </row>
    <row r="92" spans="1:4" ht="16" x14ac:dyDescent="0.2">
      <c r="A92" s="2" t="s">
        <v>305</v>
      </c>
      <c r="B92" s="51">
        <v>80000</v>
      </c>
      <c r="C92" s="56"/>
      <c r="D92" s="67"/>
    </row>
    <row r="93" spans="1:4" ht="16" x14ac:dyDescent="0.2">
      <c r="A93" s="2" t="s">
        <v>306</v>
      </c>
      <c r="B93" s="24">
        <v>80000</v>
      </c>
      <c r="C93" s="5">
        <v>56</v>
      </c>
      <c r="D93" s="55">
        <v>40</v>
      </c>
    </row>
    <row r="94" spans="1:4" ht="16" x14ac:dyDescent="0.2">
      <c r="A94" s="2" t="s">
        <v>307</v>
      </c>
      <c r="B94" s="24">
        <v>32000</v>
      </c>
      <c r="C94" s="26">
        <v>57</v>
      </c>
      <c r="D94" s="55">
        <v>58</v>
      </c>
    </row>
    <row r="95" spans="1:4" ht="16" x14ac:dyDescent="0.2">
      <c r="A95" s="8" t="s">
        <v>308</v>
      </c>
      <c r="B95" s="34">
        <v>8000</v>
      </c>
      <c r="C95" s="35">
        <v>74</v>
      </c>
      <c r="D95" s="10">
        <v>48</v>
      </c>
    </row>
    <row r="96" spans="1:4" ht="16" x14ac:dyDescent="0.2">
      <c r="A96" s="2" t="s">
        <v>309</v>
      </c>
      <c r="B96" s="68">
        <v>26000</v>
      </c>
      <c r="C96" s="66"/>
      <c r="D96" s="66" t="s">
        <v>310</v>
      </c>
    </row>
    <row r="97" spans="1:9" ht="16" x14ac:dyDescent="0.2">
      <c r="A97" s="2" t="s">
        <v>311</v>
      </c>
      <c r="B97" s="24">
        <v>1000</v>
      </c>
      <c r="C97" s="24">
        <v>99</v>
      </c>
      <c r="D97" s="24">
        <v>57</v>
      </c>
    </row>
    <row r="98" spans="1:9" ht="16" x14ac:dyDescent="0.2">
      <c r="A98" s="2" t="s">
        <v>312</v>
      </c>
      <c r="B98" s="24">
        <v>300</v>
      </c>
      <c r="C98" s="10">
        <v>99</v>
      </c>
      <c r="D98" s="10">
        <v>69</v>
      </c>
    </row>
    <row r="99" spans="1:9" ht="16" x14ac:dyDescent="0.2">
      <c r="A99" s="2" t="s">
        <v>313</v>
      </c>
      <c r="B99" s="16" t="s">
        <v>314</v>
      </c>
      <c r="C99" s="10" t="s">
        <v>315</v>
      </c>
      <c r="D99" s="10">
        <v>75</v>
      </c>
    </row>
    <row r="100" spans="1:9" ht="16" x14ac:dyDescent="0.2">
      <c r="A100" s="2" t="s">
        <v>316</v>
      </c>
      <c r="B100" s="10" t="s">
        <v>317</v>
      </c>
      <c r="C100" s="10" t="s">
        <v>315</v>
      </c>
      <c r="D100" s="10">
        <v>75</v>
      </c>
    </row>
    <row r="101" spans="1:9" ht="16" x14ac:dyDescent="0.2">
      <c r="A101" s="2" t="s">
        <v>318</v>
      </c>
      <c r="B101" s="24">
        <v>10</v>
      </c>
      <c r="C101" s="10" t="s">
        <v>315</v>
      </c>
      <c r="D101" s="10">
        <v>75</v>
      </c>
    </row>
    <row r="102" spans="1:9" ht="15" customHeight="1" x14ac:dyDescent="0.2">
      <c r="H102" s="11"/>
      <c r="I102" s="11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opLeftCell="A39" zoomScale="150" zoomScaleNormal="150" workbookViewId="0">
      <selection activeCell="B6" sqref="B6"/>
    </sheetView>
  </sheetViews>
  <sheetFormatPr baseColWidth="10" defaultColWidth="8.83203125" defaultRowHeight="15" customHeight="1" x14ac:dyDescent="0.2"/>
  <cols>
    <col min="1" max="1" width="85.1640625" customWidth="1"/>
    <col min="2" max="2" width="32.5" style="5" customWidth="1"/>
    <col min="3" max="3" width="22.1640625" style="5" customWidth="1"/>
    <col min="4" max="4" width="46.5" customWidth="1"/>
    <col min="5" max="5" width="21" customWidth="1"/>
    <col min="7" max="7" width="18.5" customWidth="1"/>
    <col min="8" max="8" width="11.1640625" bestFit="1" customWidth="1"/>
  </cols>
  <sheetData>
    <row r="1" spans="1:5" ht="57" customHeight="1" x14ac:dyDescent="0.2">
      <c r="A1" s="50" t="s">
        <v>319</v>
      </c>
      <c r="B1" s="105" t="s">
        <v>320</v>
      </c>
      <c r="C1" s="106"/>
      <c r="D1" s="36" t="s">
        <v>148</v>
      </c>
    </row>
    <row r="2" spans="1:5" ht="18" customHeight="1" x14ac:dyDescent="0.25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" customHeight="1" x14ac:dyDescent="0.2">
      <c r="A3" s="2" t="s">
        <v>153</v>
      </c>
      <c r="B3" s="1" t="s">
        <v>321</v>
      </c>
      <c r="C3" s="57">
        <v>91</v>
      </c>
      <c r="D3" s="57">
        <v>39</v>
      </c>
    </row>
    <row r="4" spans="1:5" ht="16.25" customHeight="1" x14ac:dyDescent="0.2">
      <c r="A4" s="2" t="s">
        <v>155</v>
      </c>
      <c r="B4" s="4" t="s">
        <v>322</v>
      </c>
      <c r="C4" s="4">
        <v>70</v>
      </c>
      <c r="D4" s="57">
        <v>40</v>
      </c>
      <c r="E4" t="s">
        <v>323</v>
      </c>
    </row>
    <row r="5" spans="1:5" ht="15.5" customHeight="1" x14ac:dyDescent="0.2">
      <c r="A5" s="2" t="s">
        <v>158</v>
      </c>
      <c r="B5" s="4" t="s">
        <v>324</v>
      </c>
      <c r="C5" s="4">
        <v>92</v>
      </c>
      <c r="D5" s="57">
        <v>57</v>
      </c>
    </row>
    <row r="6" spans="1:5" ht="18" customHeight="1" x14ac:dyDescent="0.2">
      <c r="A6" s="2" t="s">
        <v>160</v>
      </c>
      <c r="B6" s="1" t="s">
        <v>325</v>
      </c>
      <c r="C6" s="4">
        <v>94</v>
      </c>
      <c r="D6" s="57">
        <v>41</v>
      </c>
    </row>
    <row r="7" spans="1:5" ht="14.5" customHeight="1" x14ac:dyDescent="0.2">
      <c r="A7" s="2" t="s">
        <v>162</v>
      </c>
      <c r="B7" s="4" t="s">
        <v>326</v>
      </c>
      <c r="C7" s="57">
        <v>96</v>
      </c>
      <c r="D7" s="57">
        <v>43</v>
      </c>
    </row>
    <row r="8" spans="1:5" ht="14" customHeight="1" x14ac:dyDescent="0.2">
      <c r="A8" s="2" t="s">
        <v>164</v>
      </c>
      <c r="B8" s="4" t="s">
        <v>327</v>
      </c>
      <c r="C8" s="4">
        <v>90</v>
      </c>
      <c r="D8" s="57">
        <v>41</v>
      </c>
    </row>
    <row r="9" spans="1:5" ht="16" x14ac:dyDescent="0.2">
      <c r="A9" s="2" t="s">
        <v>166</v>
      </c>
      <c r="B9" s="4" t="s">
        <v>328</v>
      </c>
      <c r="C9" s="57">
        <v>90</v>
      </c>
      <c r="D9" s="57">
        <v>43</v>
      </c>
    </row>
    <row r="10" spans="1:5" ht="16" x14ac:dyDescent="0.2">
      <c r="A10" s="2" t="s">
        <v>168</v>
      </c>
      <c r="B10" s="4" t="s">
        <v>329</v>
      </c>
      <c r="C10" s="4">
        <v>90</v>
      </c>
      <c r="D10" s="57">
        <v>46</v>
      </c>
    </row>
    <row r="11" spans="1:5" ht="16" x14ac:dyDescent="0.2">
      <c r="A11" s="2" t="s">
        <v>170</v>
      </c>
      <c r="B11" s="4" t="s">
        <v>330</v>
      </c>
      <c r="C11" s="4">
        <v>92</v>
      </c>
      <c r="D11" s="57">
        <v>40</v>
      </c>
    </row>
    <row r="12" spans="1:5" ht="16" x14ac:dyDescent="0.2">
      <c r="A12" s="2" t="s">
        <v>172</v>
      </c>
      <c r="B12" s="1" t="s">
        <v>186</v>
      </c>
      <c r="C12" s="57">
        <v>92</v>
      </c>
      <c r="D12" s="57">
        <v>42</v>
      </c>
    </row>
    <row r="13" spans="1:5" ht="16" x14ac:dyDescent="0.2">
      <c r="A13" s="2" t="s">
        <v>174</v>
      </c>
      <c r="B13" s="1" t="s">
        <v>331</v>
      </c>
      <c r="C13" s="4">
        <v>90</v>
      </c>
      <c r="D13" s="57">
        <v>47</v>
      </c>
    </row>
    <row r="14" spans="1:5" ht="16" x14ac:dyDescent="0.2">
      <c r="A14" s="2" t="s">
        <v>176</v>
      </c>
      <c r="B14" s="4" t="s">
        <v>332</v>
      </c>
      <c r="C14" s="4">
        <v>90</v>
      </c>
      <c r="D14" s="57">
        <v>47</v>
      </c>
    </row>
    <row r="15" spans="1:5" ht="16" x14ac:dyDescent="0.2">
      <c r="A15" s="2" t="s">
        <v>178</v>
      </c>
      <c r="B15" s="1" t="s">
        <v>333</v>
      </c>
      <c r="C15" s="4">
        <v>94</v>
      </c>
      <c r="D15" s="57">
        <v>47</v>
      </c>
    </row>
    <row r="16" spans="1:5" ht="16" x14ac:dyDescent="0.2">
      <c r="A16" s="3" t="s">
        <v>180</v>
      </c>
      <c r="B16" s="46" t="s">
        <v>334</v>
      </c>
      <c r="C16" s="4">
        <v>92</v>
      </c>
      <c r="D16" s="57">
        <v>46</v>
      </c>
    </row>
    <row r="17" spans="1:6" ht="16" x14ac:dyDescent="0.2">
      <c r="A17" s="43" t="s">
        <v>182</v>
      </c>
      <c r="B17" s="7" t="s">
        <v>335</v>
      </c>
      <c r="C17" s="7">
        <v>92</v>
      </c>
      <c r="D17" s="57">
        <v>47</v>
      </c>
    </row>
    <row r="18" spans="1:6" ht="18" customHeight="1" x14ac:dyDescent="0.25">
      <c r="A18" s="38" t="s">
        <v>184</v>
      </c>
      <c r="B18" s="40" t="s">
        <v>336</v>
      </c>
      <c r="C18" s="40" t="s">
        <v>151</v>
      </c>
      <c r="D18" s="40" t="s">
        <v>152</v>
      </c>
    </row>
    <row r="19" spans="1:6" ht="16" x14ac:dyDescent="0.2">
      <c r="A19" s="22" t="s">
        <v>185</v>
      </c>
      <c r="B19" s="27" t="s">
        <v>337</v>
      </c>
      <c r="C19" s="54">
        <v>92</v>
      </c>
      <c r="D19" s="57">
        <v>63</v>
      </c>
    </row>
    <row r="20" spans="1:6" ht="16" x14ac:dyDescent="0.2">
      <c r="A20" s="2" t="s">
        <v>187</v>
      </c>
      <c r="B20" s="23" t="s">
        <v>338</v>
      </c>
      <c r="C20" s="56">
        <v>95</v>
      </c>
      <c r="D20" s="57">
        <v>63</v>
      </c>
    </row>
    <row r="21" spans="1:6" ht="16" x14ac:dyDescent="0.2">
      <c r="A21" s="2" t="s">
        <v>189</v>
      </c>
      <c r="B21" s="10" t="s">
        <v>339</v>
      </c>
      <c r="C21" s="56">
        <v>95</v>
      </c>
      <c r="D21" s="57">
        <v>81</v>
      </c>
    </row>
    <row r="22" spans="1:6" ht="16" x14ac:dyDescent="0.2">
      <c r="A22" s="2" t="s">
        <v>191</v>
      </c>
      <c r="B22" s="10" t="s">
        <v>340</v>
      </c>
      <c r="C22" s="56">
        <v>93</v>
      </c>
      <c r="D22" s="57">
        <v>64</v>
      </c>
    </row>
    <row r="23" spans="1:6" ht="16" x14ac:dyDescent="0.2">
      <c r="A23" s="2" t="s">
        <v>193</v>
      </c>
      <c r="B23" s="10" t="s">
        <v>341</v>
      </c>
      <c r="C23" s="56">
        <v>92</v>
      </c>
      <c r="D23" s="57">
        <v>61</v>
      </c>
    </row>
    <row r="24" spans="1:6" ht="16" x14ac:dyDescent="0.2">
      <c r="A24" s="2" t="s">
        <v>195</v>
      </c>
      <c r="B24" s="10" t="s">
        <v>342</v>
      </c>
      <c r="C24" s="56">
        <v>92</v>
      </c>
      <c r="D24" s="57">
        <v>67</v>
      </c>
      <c r="F24" t="s">
        <v>343</v>
      </c>
    </row>
    <row r="25" spans="1:6" ht="16" x14ac:dyDescent="0.2">
      <c r="A25" s="2" t="s">
        <v>197</v>
      </c>
      <c r="B25" s="10" t="s">
        <v>344</v>
      </c>
      <c r="C25" s="56">
        <v>92</v>
      </c>
      <c r="D25" s="57">
        <v>67</v>
      </c>
    </row>
    <row r="26" spans="1:6" ht="16" x14ac:dyDescent="0.2">
      <c r="A26" s="2" t="s">
        <v>199</v>
      </c>
      <c r="B26" s="10" t="s">
        <v>342</v>
      </c>
      <c r="C26" s="56">
        <v>90</v>
      </c>
      <c r="D26" s="57">
        <v>69</v>
      </c>
    </row>
    <row r="27" spans="1:6" ht="16" x14ac:dyDescent="0.2">
      <c r="A27" s="2" t="s">
        <v>201</v>
      </c>
      <c r="B27" s="10" t="s">
        <v>345</v>
      </c>
      <c r="C27" s="56">
        <v>90</v>
      </c>
      <c r="D27" s="57">
        <v>65</v>
      </c>
    </row>
    <row r="28" spans="1:6" ht="16" x14ac:dyDescent="0.2">
      <c r="A28" s="2" t="s">
        <v>203</v>
      </c>
      <c r="B28" s="10" t="s">
        <v>346</v>
      </c>
      <c r="C28" s="56">
        <v>92</v>
      </c>
      <c r="D28" s="57">
        <v>69</v>
      </c>
    </row>
    <row r="29" spans="1:6" ht="18" customHeight="1" x14ac:dyDescent="0.25">
      <c r="A29" s="29" t="s">
        <v>205</v>
      </c>
      <c r="B29" s="14" t="s">
        <v>336</v>
      </c>
      <c r="C29" s="40" t="s">
        <v>151</v>
      </c>
      <c r="D29" s="40" t="s">
        <v>207</v>
      </c>
    </row>
    <row r="30" spans="1:6" ht="16" x14ac:dyDescent="0.2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6" x14ac:dyDescent="0.2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6" x14ac:dyDescent="0.2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5" customHeight="1" x14ac:dyDescent="0.2">
      <c r="A33" s="2" t="s">
        <v>187</v>
      </c>
      <c r="B33" s="47" t="s">
        <v>347</v>
      </c>
      <c r="C33" s="56">
        <v>92</v>
      </c>
      <c r="D33" s="24" t="s">
        <v>210</v>
      </c>
    </row>
    <row r="34" spans="1:10" ht="18" customHeight="1" x14ac:dyDescent="0.25">
      <c r="A34" s="29" t="s">
        <v>214</v>
      </c>
      <c r="B34" s="12" t="s">
        <v>348</v>
      </c>
      <c r="C34" s="40" t="s">
        <v>151</v>
      </c>
      <c r="D34" s="40" t="s">
        <v>152</v>
      </c>
    </row>
    <row r="35" spans="1:10" ht="16" x14ac:dyDescent="0.2">
      <c r="A35" s="2" t="s">
        <v>215</v>
      </c>
      <c r="B35" s="48" t="s">
        <v>349</v>
      </c>
      <c r="C35" s="62">
        <v>90</v>
      </c>
      <c r="D35" s="57">
        <v>38</v>
      </c>
    </row>
    <row r="36" spans="1:10" ht="16" x14ac:dyDescent="0.2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5" customHeight="1" x14ac:dyDescent="0.2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6" x14ac:dyDescent="0.2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6" x14ac:dyDescent="0.2">
      <c r="A39" s="22" t="s">
        <v>220</v>
      </c>
      <c r="B39" s="15">
        <v>2700</v>
      </c>
      <c r="C39" s="15">
        <v>96</v>
      </c>
      <c r="D39" s="57">
        <v>69</v>
      </c>
    </row>
    <row r="40" spans="1:10" ht="16" x14ac:dyDescent="0.2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6" x14ac:dyDescent="0.2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6" x14ac:dyDescent="0.2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6" x14ac:dyDescent="0.2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 x14ac:dyDescent="0.25">
      <c r="A44" s="29" t="s">
        <v>225</v>
      </c>
      <c r="B44" s="12" t="s">
        <v>336</v>
      </c>
      <c r="C44" s="40" t="s">
        <v>151</v>
      </c>
      <c r="D44" s="40" t="s">
        <v>207</v>
      </c>
    </row>
    <row r="45" spans="1:10" ht="18.5" customHeight="1" x14ac:dyDescent="0.2">
      <c r="A45" s="13" t="s">
        <v>226</v>
      </c>
      <c r="B45" s="33" t="s">
        <v>350</v>
      </c>
      <c r="C45" s="24">
        <v>98</v>
      </c>
      <c r="D45" s="57" t="s">
        <v>228</v>
      </c>
    </row>
    <row r="46" spans="1:10" ht="17.5" customHeight="1" x14ac:dyDescent="0.2">
      <c r="A46" s="13" t="s">
        <v>229</v>
      </c>
      <c r="B46" s="49" t="s">
        <v>351</v>
      </c>
      <c r="C46" s="24">
        <v>98</v>
      </c>
      <c r="D46" s="57" t="s">
        <v>228</v>
      </c>
    </row>
    <row r="47" spans="1:10" ht="16" x14ac:dyDescent="0.2">
      <c r="A47" s="8" t="s">
        <v>231</v>
      </c>
      <c r="B47" s="23" t="s">
        <v>352</v>
      </c>
      <c r="C47" s="56">
        <v>96</v>
      </c>
      <c r="D47" s="57" t="s">
        <v>228</v>
      </c>
    </row>
    <row r="48" spans="1:10" ht="16" x14ac:dyDescent="0.2">
      <c r="A48" s="2" t="s">
        <v>233</v>
      </c>
      <c r="B48" s="49" t="s">
        <v>353</v>
      </c>
      <c r="C48" s="56">
        <v>96</v>
      </c>
      <c r="D48" s="57" t="s">
        <v>235</v>
      </c>
    </row>
    <row r="49" spans="1:4" ht="16" x14ac:dyDescent="0.2">
      <c r="A49" s="2" t="s">
        <v>236</v>
      </c>
      <c r="B49" s="4" t="s">
        <v>354</v>
      </c>
      <c r="C49" s="23">
        <v>50</v>
      </c>
      <c r="D49" s="57"/>
    </row>
    <row r="50" spans="1:4" ht="16" x14ac:dyDescent="0.2">
      <c r="A50" s="8" t="s">
        <v>238</v>
      </c>
      <c r="B50" s="23" t="s">
        <v>355</v>
      </c>
      <c r="C50" s="54">
        <v>98</v>
      </c>
      <c r="D50" s="57" t="s">
        <v>228</v>
      </c>
    </row>
    <row r="51" spans="1:4" ht="16.25" customHeight="1" x14ac:dyDescent="0.2">
      <c r="A51" s="8" t="s">
        <v>240</v>
      </c>
      <c r="B51" s="32" t="s">
        <v>356</v>
      </c>
      <c r="C51" s="56">
        <v>98</v>
      </c>
      <c r="D51" s="57" t="s">
        <v>228</v>
      </c>
    </row>
    <row r="52" spans="1:4" ht="15.5" customHeight="1" x14ac:dyDescent="0.2">
      <c r="A52" s="8" t="s">
        <v>242</v>
      </c>
      <c r="B52" s="1" t="s">
        <v>357</v>
      </c>
      <c r="C52" s="56">
        <v>99</v>
      </c>
      <c r="D52" s="57" t="s">
        <v>228</v>
      </c>
    </row>
    <row r="53" spans="1:4" ht="16.25" customHeight="1" x14ac:dyDescent="0.2">
      <c r="A53" s="8" t="s">
        <v>244</v>
      </c>
      <c r="B53" s="31" t="s">
        <v>358</v>
      </c>
      <c r="C53" s="63">
        <v>99</v>
      </c>
      <c r="D53" s="57" t="s">
        <v>228</v>
      </c>
    </row>
    <row r="54" spans="1:4" ht="16" x14ac:dyDescent="0.2">
      <c r="A54" s="18" t="s">
        <v>246</v>
      </c>
      <c r="B54" s="23" t="s">
        <v>359</v>
      </c>
      <c r="C54" s="64">
        <v>98</v>
      </c>
      <c r="D54" s="57" t="s">
        <v>248</v>
      </c>
    </row>
    <row r="55" spans="1:4" ht="16" x14ac:dyDescent="0.2">
      <c r="A55" s="19" t="s">
        <v>249</v>
      </c>
      <c r="B55" s="23" t="s">
        <v>360</v>
      </c>
      <c r="C55" s="64">
        <v>98</v>
      </c>
      <c r="D55" s="57" t="s">
        <v>251</v>
      </c>
    </row>
    <row r="56" spans="1:4" ht="17" customHeight="1" x14ac:dyDescent="0.2">
      <c r="A56" s="19" t="s">
        <v>252</v>
      </c>
      <c r="B56" s="23" t="s">
        <v>361</v>
      </c>
      <c r="C56" s="64">
        <v>96</v>
      </c>
      <c r="D56" s="57" t="s">
        <v>254</v>
      </c>
    </row>
    <row r="57" spans="1:4" ht="16" x14ac:dyDescent="0.2">
      <c r="A57" s="9" t="s">
        <v>255</v>
      </c>
      <c r="B57" s="25" t="s">
        <v>362</v>
      </c>
      <c r="C57" s="56">
        <v>96</v>
      </c>
      <c r="D57" s="57" t="s">
        <v>228</v>
      </c>
    </row>
    <row r="58" spans="1:4" ht="17.25" customHeight="1" x14ac:dyDescent="0.2">
      <c r="A58" s="2" t="s">
        <v>257</v>
      </c>
      <c r="B58" s="23" t="s">
        <v>363</v>
      </c>
      <c r="C58" s="54">
        <v>78</v>
      </c>
      <c r="D58" s="57" t="s">
        <v>259</v>
      </c>
    </row>
    <row r="59" spans="1:4" ht="16" x14ac:dyDescent="0.2">
      <c r="A59" s="2" t="s">
        <v>260</v>
      </c>
      <c r="B59" s="23" t="s">
        <v>364</v>
      </c>
      <c r="C59" s="56">
        <v>77</v>
      </c>
      <c r="D59" s="57" t="s">
        <v>259</v>
      </c>
    </row>
    <row r="60" spans="1:4" ht="19.5" customHeight="1" x14ac:dyDescent="0.2">
      <c r="A60" s="2" t="s">
        <v>262</v>
      </c>
      <c r="B60" s="23" t="s">
        <v>365</v>
      </c>
      <c r="C60" s="56">
        <v>79</v>
      </c>
      <c r="D60" s="57" t="s">
        <v>259</v>
      </c>
    </row>
    <row r="61" spans="1:4" ht="18.75" customHeight="1" x14ac:dyDescent="0.2">
      <c r="A61" s="2" t="s">
        <v>264</v>
      </c>
      <c r="B61" s="23" t="s">
        <v>366</v>
      </c>
      <c r="C61" s="56">
        <v>72</v>
      </c>
      <c r="D61" s="57" t="s">
        <v>259</v>
      </c>
    </row>
    <row r="62" spans="1:4" ht="17.5" customHeight="1" x14ac:dyDescent="0.2">
      <c r="A62" s="2" t="s">
        <v>266</v>
      </c>
      <c r="B62" s="32" t="s">
        <v>367</v>
      </c>
      <c r="C62" s="56">
        <v>88</v>
      </c>
      <c r="D62" s="57" t="s">
        <v>268</v>
      </c>
    </row>
    <row r="63" spans="1:4" ht="18" customHeight="1" x14ac:dyDescent="0.2">
      <c r="A63" s="2" t="s">
        <v>269</v>
      </c>
      <c r="B63" s="23" t="s">
        <v>368</v>
      </c>
      <c r="C63" s="56">
        <v>50</v>
      </c>
      <c r="D63" s="57"/>
    </row>
    <row r="64" spans="1:4" ht="18" customHeight="1" x14ac:dyDescent="0.2">
      <c r="A64" s="2" t="s">
        <v>271</v>
      </c>
      <c r="B64" s="52" t="s">
        <v>369</v>
      </c>
      <c r="C64" s="56">
        <v>79</v>
      </c>
      <c r="D64" s="57" t="s">
        <v>273</v>
      </c>
    </row>
    <row r="65" spans="1:9" ht="32.25" customHeight="1" x14ac:dyDescent="0.2">
      <c r="A65" s="3" t="s">
        <v>274</v>
      </c>
      <c r="B65" s="51" t="s">
        <v>370</v>
      </c>
      <c r="C65" s="56"/>
      <c r="D65" s="57"/>
    </row>
    <row r="66" spans="1:9" ht="18" customHeight="1" x14ac:dyDescent="0.25">
      <c r="A66" s="28" t="s">
        <v>276</v>
      </c>
      <c r="B66" s="30" t="s">
        <v>277</v>
      </c>
      <c r="C66" s="65" t="s">
        <v>151</v>
      </c>
      <c r="D66" s="65" t="s">
        <v>371</v>
      </c>
    </row>
    <row r="67" spans="1:9" ht="16" x14ac:dyDescent="0.2">
      <c r="A67" s="2" t="s">
        <v>278</v>
      </c>
      <c r="B67" s="10">
        <v>64</v>
      </c>
      <c r="C67" s="56">
        <v>10</v>
      </c>
      <c r="D67" s="56">
        <v>75</v>
      </c>
    </row>
    <row r="68" spans="1:9" ht="16" x14ac:dyDescent="0.2">
      <c r="A68" s="2" t="s">
        <v>279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6" x14ac:dyDescent="0.2">
      <c r="A69" s="2" t="s">
        <v>280</v>
      </c>
      <c r="B69" s="10"/>
      <c r="C69" s="56"/>
      <c r="D69" s="56"/>
    </row>
    <row r="70" spans="1:9" ht="16" x14ac:dyDescent="0.2">
      <c r="A70" s="2" t="s">
        <v>281</v>
      </c>
      <c r="B70" s="10">
        <v>64</v>
      </c>
      <c r="C70" s="56">
        <v>10</v>
      </c>
      <c r="D70" s="56">
        <v>76</v>
      </c>
    </row>
    <row r="71" spans="1:9" ht="16" x14ac:dyDescent="0.2">
      <c r="A71" s="2" t="s">
        <v>282</v>
      </c>
      <c r="B71" s="10">
        <v>2000</v>
      </c>
      <c r="C71" s="56">
        <v>10</v>
      </c>
      <c r="D71" s="56">
        <v>76</v>
      </c>
    </row>
    <row r="72" spans="1:9" ht="16" x14ac:dyDescent="0.2">
      <c r="A72" s="2" t="s">
        <v>283</v>
      </c>
      <c r="B72" s="10">
        <v>1536</v>
      </c>
      <c r="C72" s="56">
        <v>20</v>
      </c>
      <c r="D72" s="56">
        <v>77</v>
      </c>
    </row>
    <row r="73" spans="1:9" ht="16" x14ac:dyDescent="0.2">
      <c r="A73" s="2" t="s">
        <v>284</v>
      </c>
      <c r="B73" s="10">
        <v>48</v>
      </c>
      <c r="C73" s="56">
        <v>10</v>
      </c>
      <c r="D73" s="56">
        <v>77</v>
      </c>
    </row>
    <row r="74" spans="1:9" ht="16" x14ac:dyDescent="0.2">
      <c r="A74" s="2" t="s">
        <v>286</v>
      </c>
      <c r="B74" s="10">
        <v>1280</v>
      </c>
      <c r="C74" s="56">
        <v>10</v>
      </c>
      <c r="D74" s="56">
        <v>76</v>
      </c>
    </row>
    <row r="75" spans="1:9" ht="16" x14ac:dyDescent="0.2">
      <c r="A75" s="2" t="s">
        <v>287</v>
      </c>
      <c r="B75" s="10">
        <v>2000</v>
      </c>
      <c r="C75" s="56">
        <v>10</v>
      </c>
      <c r="D75" s="56">
        <v>76</v>
      </c>
    </row>
    <row r="76" spans="1:9" ht="16" x14ac:dyDescent="0.2">
      <c r="A76" s="2" t="s">
        <v>288</v>
      </c>
      <c r="B76" s="66">
        <v>1024</v>
      </c>
      <c r="C76" s="56">
        <v>10</v>
      </c>
      <c r="D76" s="56">
        <v>77</v>
      </c>
    </row>
    <row r="77" spans="1:9" ht="16" x14ac:dyDescent="0.2">
      <c r="A77" s="2" t="s">
        <v>289</v>
      </c>
      <c r="B77" s="10">
        <v>1536</v>
      </c>
      <c r="C77" s="56">
        <v>10</v>
      </c>
      <c r="D77" s="56">
        <v>77</v>
      </c>
    </row>
    <row r="78" spans="1:9" ht="16" x14ac:dyDescent="0.2">
      <c r="A78" s="2" t="s">
        <v>290</v>
      </c>
      <c r="B78" s="10">
        <v>1536</v>
      </c>
      <c r="C78" s="56">
        <v>10</v>
      </c>
      <c r="D78" s="56">
        <v>77</v>
      </c>
    </row>
    <row r="79" spans="1:9" ht="16" x14ac:dyDescent="0.2">
      <c r="A79" s="2" t="s">
        <v>291</v>
      </c>
      <c r="B79" s="10">
        <v>256</v>
      </c>
      <c r="C79" s="56"/>
      <c r="D79" s="56"/>
    </row>
    <row r="80" spans="1:9" ht="16" x14ac:dyDescent="0.2">
      <c r="A80" s="2" t="s">
        <v>292</v>
      </c>
      <c r="B80" s="32">
        <v>2000</v>
      </c>
      <c r="C80" s="56"/>
      <c r="D80" s="56"/>
    </row>
    <row r="81" spans="1:4" ht="16" x14ac:dyDescent="0.2">
      <c r="A81" s="2" t="s">
        <v>293</v>
      </c>
      <c r="B81" s="23"/>
      <c r="C81" s="56"/>
      <c r="D81" s="56"/>
    </row>
    <row r="82" spans="1:4" ht="16" x14ac:dyDescent="0.2">
      <c r="A82" s="2" t="s">
        <v>294</v>
      </c>
      <c r="B82" s="10"/>
      <c r="C82" s="56"/>
      <c r="D82" s="56"/>
    </row>
    <row r="83" spans="1:4" ht="16" x14ac:dyDescent="0.2">
      <c r="A83" s="2" t="s">
        <v>295</v>
      </c>
      <c r="B83" s="10">
        <v>128</v>
      </c>
      <c r="C83" s="56">
        <v>10</v>
      </c>
      <c r="D83" s="56">
        <v>96</v>
      </c>
    </row>
    <row r="84" spans="1:4" ht="16" x14ac:dyDescent="0.2">
      <c r="A84" s="2" t="s">
        <v>296</v>
      </c>
      <c r="B84" s="10" t="s">
        <v>372</v>
      </c>
      <c r="C84" s="10">
        <v>10</v>
      </c>
      <c r="D84" s="10">
        <v>84</v>
      </c>
    </row>
    <row r="85" spans="1:4" ht="16" x14ac:dyDescent="0.2">
      <c r="A85" s="2" t="s">
        <v>298</v>
      </c>
      <c r="B85" s="10" t="s">
        <v>373</v>
      </c>
      <c r="C85" s="10">
        <v>10</v>
      </c>
      <c r="D85" s="10">
        <v>84</v>
      </c>
    </row>
    <row r="86" spans="1:4" ht="16" x14ac:dyDescent="0.2">
      <c r="A86" s="2" t="s">
        <v>300</v>
      </c>
      <c r="B86" s="10"/>
      <c r="C86" s="56"/>
      <c r="D86" s="56"/>
    </row>
    <row r="87" spans="1:4" ht="16" x14ac:dyDescent="0.2">
      <c r="A87" s="2" t="s">
        <v>301</v>
      </c>
      <c r="B87" s="10"/>
      <c r="C87" s="56"/>
      <c r="D87" s="56"/>
    </row>
    <row r="88" spans="1:4" ht="16" x14ac:dyDescent="0.2">
      <c r="A88" s="2" t="s">
        <v>302</v>
      </c>
      <c r="B88" s="10"/>
      <c r="C88" s="56"/>
      <c r="D88" s="56"/>
    </row>
    <row r="89" spans="1:4" ht="16" x14ac:dyDescent="0.2">
      <c r="A89" s="2" t="s">
        <v>303</v>
      </c>
      <c r="B89" s="10">
        <v>96000</v>
      </c>
      <c r="C89" s="56">
        <v>50</v>
      </c>
      <c r="D89" s="56">
        <v>35</v>
      </c>
    </row>
    <row r="90" spans="1:4" ht="16" x14ac:dyDescent="0.2">
      <c r="A90" s="2" t="s">
        <v>304</v>
      </c>
      <c r="B90" s="10">
        <v>96000</v>
      </c>
      <c r="C90" s="56">
        <v>55</v>
      </c>
      <c r="D90" s="56">
        <v>35</v>
      </c>
    </row>
    <row r="91" spans="1:4" ht="16" x14ac:dyDescent="0.2">
      <c r="A91" s="2" t="s">
        <v>305</v>
      </c>
      <c r="B91" s="51">
        <v>96000</v>
      </c>
      <c r="C91" s="56"/>
      <c r="D91" s="56">
        <v>41</v>
      </c>
    </row>
    <row r="92" spans="1:4" ht="16" x14ac:dyDescent="0.2">
      <c r="A92" s="2" t="s">
        <v>374</v>
      </c>
      <c r="B92" s="26">
        <v>48000</v>
      </c>
      <c r="C92" s="55"/>
      <c r="D92" s="56">
        <v>41</v>
      </c>
    </row>
    <row r="93" spans="1:4" ht="16" x14ac:dyDescent="0.2">
      <c r="A93" s="2" t="s">
        <v>375</v>
      </c>
      <c r="B93" s="26">
        <v>48000</v>
      </c>
      <c r="C93" s="55"/>
      <c r="D93" s="56">
        <v>41</v>
      </c>
    </row>
    <row r="94" spans="1:4" ht="16" x14ac:dyDescent="0.2">
      <c r="A94" s="8" t="s">
        <v>308</v>
      </c>
      <c r="B94" s="35">
        <v>8000</v>
      </c>
      <c r="C94" s="10">
        <v>99</v>
      </c>
      <c r="D94" s="56">
        <v>41</v>
      </c>
    </row>
    <row r="95" spans="1:4" ht="16" x14ac:dyDescent="0.2">
      <c r="A95" s="2" t="s">
        <v>309</v>
      </c>
      <c r="B95" s="68">
        <v>26000</v>
      </c>
      <c r="C95" s="66"/>
      <c r="D95" s="66" t="s">
        <v>310</v>
      </c>
    </row>
    <row r="96" spans="1:4" ht="16" x14ac:dyDescent="0.2">
      <c r="A96" s="2" t="s">
        <v>311</v>
      </c>
      <c r="B96" s="10">
        <v>1200</v>
      </c>
      <c r="C96" s="10">
        <v>97</v>
      </c>
      <c r="D96" s="56">
        <v>55</v>
      </c>
    </row>
    <row r="97" spans="1:9" ht="16" x14ac:dyDescent="0.2">
      <c r="A97" s="2" t="s">
        <v>312</v>
      </c>
      <c r="B97" s="10">
        <v>500</v>
      </c>
      <c r="C97" s="10">
        <v>99</v>
      </c>
      <c r="D97" s="56">
        <v>41</v>
      </c>
    </row>
    <row r="98" spans="1:9" ht="16" x14ac:dyDescent="0.2">
      <c r="A98" s="2" t="s">
        <v>313</v>
      </c>
      <c r="B98" s="10" t="s">
        <v>376</v>
      </c>
      <c r="C98" s="10"/>
      <c r="D98" s="56"/>
    </row>
    <row r="99" spans="1:9" ht="16" x14ac:dyDescent="0.2">
      <c r="A99" s="2" t="s">
        <v>316</v>
      </c>
      <c r="B99" s="10" t="s">
        <v>377</v>
      </c>
      <c r="C99" s="10"/>
      <c r="D99" s="56"/>
    </row>
    <row r="100" spans="1:9" ht="16" x14ac:dyDescent="0.2">
      <c r="A100" s="2" t="s">
        <v>318</v>
      </c>
      <c r="B100" s="10">
        <v>10</v>
      </c>
      <c r="C100" s="10"/>
      <c r="D100" s="56"/>
    </row>
    <row r="101" spans="1:9" ht="15" customHeight="1" x14ac:dyDescent="0.2">
      <c r="H101" s="11"/>
      <c r="I101" s="11"/>
    </row>
    <row r="102" spans="1:9" ht="15" customHeight="1" x14ac:dyDescent="0.2">
      <c r="H102" s="11"/>
      <c r="I102" s="11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89"/>
  <sheetViews>
    <sheetView tabSelected="1" topLeftCell="A68" workbookViewId="0">
      <selection activeCell="G88" sqref="G88"/>
    </sheetView>
  </sheetViews>
  <sheetFormatPr baseColWidth="10" defaultColWidth="62.5" defaultRowHeight="24" x14ac:dyDescent="0.3"/>
  <cols>
    <col min="1" max="1" width="162.5" style="77" customWidth="1"/>
    <col min="2" max="2" width="40.33203125" style="77" customWidth="1"/>
    <col min="3" max="3" width="29.1640625" style="77" customWidth="1"/>
    <col min="4" max="4" width="26" style="77" customWidth="1"/>
    <col min="5" max="5" width="47.6640625" style="77" customWidth="1"/>
    <col min="6" max="6" width="26.5" style="77" customWidth="1"/>
    <col min="7" max="7" width="33.83203125" style="77" customWidth="1"/>
    <col min="8" max="16384" width="62.5" style="77"/>
  </cols>
  <sheetData>
    <row r="1" spans="1:7" ht="75" x14ac:dyDescent="0.3">
      <c r="A1" s="75" t="s">
        <v>378</v>
      </c>
      <c r="B1" s="103" t="s">
        <v>147</v>
      </c>
      <c r="C1" s="104"/>
      <c r="D1" s="76" t="s">
        <v>148</v>
      </c>
      <c r="E1" s="103" t="s">
        <v>320</v>
      </c>
      <c r="F1" s="104"/>
      <c r="G1" s="76" t="s">
        <v>148</v>
      </c>
    </row>
    <row r="2" spans="1:7" ht="50" x14ac:dyDescent="0.3">
      <c r="A2" s="78" t="s">
        <v>379</v>
      </c>
      <c r="B2" s="79" t="s">
        <v>336</v>
      </c>
      <c r="C2" s="80" t="s">
        <v>151</v>
      </c>
      <c r="D2" s="79" t="s">
        <v>380</v>
      </c>
      <c r="E2" s="79" t="s">
        <v>150</v>
      </c>
      <c r="F2" s="80" t="s">
        <v>151</v>
      </c>
      <c r="G2" s="80" t="s">
        <v>152</v>
      </c>
    </row>
    <row r="3" spans="1:7" ht="25" x14ac:dyDescent="0.3">
      <c r="A3" s="81" t="s">
        <v>381</v>
      </c>
      <c r="B3" s="82" t="s">
        <v>382</v>
      </c>
      <c r="C3" s="83">
        <v>94</v>
      </c>
      <c r="D3" s="84">
        <v>40</v>
      </c>
      <c r="E3" s="82" t="s">
        <v>383</v>
      </c>
      <c r="F3" s="83">
        <v>93</v>
      </c>
      <c r="G3" s="84">
        <v>59</v>
      </c>
    </row>
    <row r="4" spans="1:7" ht="25" x14ac:dyDescent="0.3">
      <c r="A4" s="81" t="s">
        <v>384</v>
      </c>
      <c r="B4" s="84" t="s">
        <v>385</v>
      </c>
      <c r="C4" s="85">
        <v>95</v>
      </c>
      <c r="D4" s="86">
        <v>40</v>
      </c>
      <c r="E4" s="84" t="s">
        <v>386</v>
      </c>
      <c r="F4" s="85">
        <v>94</v>
      </c>
      <c r="G4" s="86">
        <v>59</v>
      </c>
    </row>
    <row r="5" spans="1:7" ht="25" x14ac:dyDescent="0.3">
      <c r="A5" s="81" t="s">
        <v>387</v>
      </c>
      <c r="B5" s="87" t="s">
        <v>188</v>
      </c>
      <c r="C5" s="88">
        <v>94</v>
      </c>
      <c r="D5" s="89">
        <v>60</v>
      </c>
      <c r="E5" s="87" t="s">
        <v>388</v>
      </c>
      <c r="F5" s="88">
        <v>91</v>
      </c>
      <c r="G5" s="89">
        <v>59</v>
      </c>
    </row>
    <row r="6" spans="1:7" ht="25" x14ac:dyDescent="0.3">
      <c r="A6" s="90" t="s">
        <v>226</v>
      </c>
      <c r="B6" s="84" t="s">
        <v>227</v>
      </c>
      <c r="C6" s="91">
        <v>99</v>
      </c>
      <c r="D6" s="92" t="s">
        <v>228</v>
      </c>
      <c r="E6" s="84" t="s">
        <v>350</v>
      </c>
      <c r="F6" s="84">
        <v>98</v>
      </c>
      <c r="G6" s="92" t="s">
        <v>228</v>
      </c>
    </row>
    <row r="7" spans="1:7" ht="25" x14ac:dyDescent="0.3">
      <c r="A7" s="90" t="s">
        <v>229</v>
      </c>
      <c r="B7" s="84" t="s">
        <v>230</v>
      </c>
      <c r="C7" s="93">
        <v>99</v>
      </c>
      <c r="D7" s="92" t="s">
        <v>228</v>
      </c>
      <c r="E7" s="84" t="s">
        <v>351</v>
      </c>
      <c r="F7" s="84">
        <v>98</v>
      </c>
      <c r="G7" s="92" t="s">
        <v>228</v>
      </c>
    </row>
    <row r="8" spans="1:7" ht="25" x14ac:dyDescent="0.3">
      <c r="A8" s="94" t="s">
        <v>231</v>
      </c>
      <c r="B8" s="87" t="s">
        <v>232</v>
      </c>
      <c r="C8" s="88">
        <v>90</v>
      </c>
      <c r="D8" s="89" t="s">
        <v>228</v>
      </c>
      <c r="E8" s="84" t="s">
        <v>352</v>
      </c>
      <c r="F8" s="84">
        <v>96</v>
      </c>
      <c r="G8" s="89" t="s">
        <v>228</v>
      </c>
    </row>
    <row r="9" spans="1:7" ht="28.5" customHeight="1" x14ac:dyDescent="0.3">
      <c r="A9" s="81" t="s">
        <v>260</v>
      </c>
      <c r="B9" s="84"/>
      <c r="C9" s="88"/>
      <c r="D9" s="95" t="s">
        <v>389</v>
      </c>
      <c r="E9" s="84"/>
      <c r="F9" s="88"/>
      <c r="G9" s="95" t="s">
        <v>389</v>
      </c>
    </row>
    <row r="12" spans="1:7" ht="75" x14ac:dyDescent="0.3">
      <c r="A12" s="75" t="s">
        <v>390</v>
      </c>
      <c r="B12" s="103" t="s">
        <v>147</v>
      </c>
      <c r="C12" s="104"/>
      <c r="D12" s="76" t="s">
        <v>148</v>
      </c>
      <c r="E12" s="103" t="s">
        <v>320</v>
      </c>
      <c r="F12" s="104"/>
      <c r="G12" s="76" t="s">
        <v>148</v>
      </c>
    </row>
    <row r="13" spans="1:7" ht="50" x14ac:dyDescent="0.3">
      <c r="A13" s="78" t="s">
        <v>379</v>
      </c>
      <c r="B13" s="79" t="s">
        <v>336</v>
      </c>
      <c r="C13" s="80" t="s">
        <v>151</v>
      </c>
      <c r="D13" s="79" t="s">
        <v>380</v>
      </c>
      <c r="E13" s="79" t="s">
        <v>150</v>
      </c>
      <c r="F13" s="80" t="s">
        <v>151</v>
      </c>
      <c r="G13" s="80" t="s">
        <v>152</v>
      </c>
    </row>
    <row r="14" spans="1:7" ht="25" x14ac:dyDescent="0.3">
      <c r="A14" s="81" t="s">
        <v>381</v>
      </c>
      <c r="B14" s="82" t="s">
        <v>391</v>
      </c>
      <c r="C14" s="83">
        <v>95</v>
      </c>
      <c r="D14" s="84">
        <v>61</v>
      </c>
      <c r="E14" s="82" t="s">
        <v>383</v>
      </c>
      <c r="F14" s="83">
        <v>93</v>
      </c>
      <c r="G14" s="84">
        <v>59</v>
      </c>
    </row>
    <row r="15" spans="1:7" ht="25" x14ac:dyDescent="0.3">
      <c r="A15" s="81" t="s">
        <v>384</v>
      </c>
      <c r="B15" s="84" t="s">
        <v>385</v>
      </c>
      <c r="C15" s="85">
        <v>95</v>
      </c>
      <c r="D15" s="86">
        <v>61</v>
      </c>
      <c r="E15" s="84" t="s">
        <v>386</v>
      </c>
      <c r="F15" s="85">
        <v>94</v>
      </c>
      <c r="G15" s="86">
        <v>59</v>
      </c>
    </row>
    <row r="16" spans="1:7" ht="25" x14ac:dyDescent="0.3">
      <c r="A16" s="81" t="s">
        <v>387</v>
      </c>
      <c r="B16" s="87" t="s">
        <v>188</v>
      </c>
      <c r="C16" s="88">
        <v>94</v>
      </c>
      <c r="D16" s="89">
        <v>60</v>
      </c>
      <c r="E16" s="87" t="s">
        <v>392</v>
      </c>
      <c r="F16" s="88">
        <v>91</v>
      </c>
      <c r="G16" s="89">
        <v>59</v>
      </c>
    </row>
    <row r="17" spans="1:9" ht="25" x14ac:dyDescent="0.3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350</v>
      </c>
      <c r="F17" s="84">
        <v>98</v>
      </c>
      <c r="G17" s="92" t="s">
        <v>228</v>
      </c>
    </row>
    <row r="18" spans="1:9" ht="25" x14ac:dyDescent="0.3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351</v>
      </c>
      <c r="F18" s="84">
        <v>98</v>
      </c>
      <c r="G18" s="92" t="s">
        <v>228</v>
      </c>
    </row>
    <row r="19" spans="1:9" ht="25" x14ac:dyDescent="0.3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352</v>
      </c>
      <c r="F19" s="84">
        <v>96</v>
      </c>
      <c r="G19" s="89" t="s">
        <v>228</v>
      </c>
    </row>
    <row r="20" spans="1:9" ht="25" x14ac:dyDescent="0.3">
      <c r="A20" s="81" t="s">
        <v>260</v>
      </c>
      <c r="B20" s="84"/>
      <c r="C20" s="88"/>
      <c r="D20" s="95" t="s">
        <v>389</v>
      </c>
      <c r="E20" s="84"/>
      <c r="F20" s="88"/>
      <c r="G20" s="95" t="s">
        <v>389</v>
      </c>
    </row>
    <row r="23" spans="1:9" ht="75" x14ac:dyDescent="0.3">
      <c r="A23" s="96" t="s">
        <v>393</v>
      </c>
      <c r="B23" s="103" t="s">
        <v>147</v>
      </c>
      <c r="C23" s="104"/>
      <c r="D23" s="76" t="s">
        <v>148</v>
      </c>
      <c r="E23" s="103" t="s">
        <v>320</v>
      </c>
      <c r="F23" s="104"/>
      <c r="G23" s="76" t="s">
        <v>148</v>
      </c>
    </row>
    <row r="24" spans="1:9" ht="50" x14ac:dyDescent="0.3">
      <c r="A24" s="78" t="s">
        <v>379</v>
      </c>
      <c r="B24" s="79" t="s">
        <v>336</v>
      </c>
      <c r="C24" s="80" t="s">
        <v>151</v>
      </c>
      <c r="D24" s="79" t="s">
        <v>380</v>
      </c>
      <c r="E24" s="79" t="s">
        <v>336</v>
      </c>
      <c r="F24" s="80" t="s">
        <v>151</v>
      </c>
      <c r="G24" s="79" t="s">
        <v>380</v>
      </c>
      <c r="I24" s="77">
        <v>280000</v>
      </c>
    </row>
    <row r="25" spans="1:9" ht="25" x14ac:dyDescent="0.3">
      <c r="A25" s="81" t="s">
        <v>381</v>
      </c>
      <c r="B25" s="82" t="s">
        <v>394</v>
      </c>
      <c r="C25" s="83">
        <v>94</v>
      </c>
      <c r="D25" s="84">
        <v>40</v>
      </c>
      <c r="E25" s="82" t="s">
        <v>383</v>
      </c>
      <c r="F25" s="83">
        <v>93</v>
      </c>
      <c r="G25" s="84">
        <v>59</v>
      </c>
      <c r="I25" s="77">
        <f>I24*8*373/1000000</f>
        <v>835.52</v>
      </c>
    </row>
    <row r="26" spans="1:9" ht="25" x14ac:dyDescent="0.3">
      <c r="A26" s="81" t="s">
        <v>384</v>
      </c>
      <c r="B26" s="84" t="s">
        <v>385</v>
      </c>
      <c r="C26" s="85">
        <v>95</v>
      </c>
      <c r="D26" s="86">
        <v>38</v>
      </c>
      <c r="E26" s="84" t="s">
        <v>386</v>
      </c>
      <c r="F26" s="85">
        <v>94</v>
      </c>
      <c r="G26" s="86">
        <v>59</v>
      </c>
    </row>
    <row r="27" spans="1:9" ht="25" x14ac:dyDescent="0.3">
      <c r="A27" s="81" t="s">
        <v>387</v>
      </c>
      <c r="B27" s="87" t="s">
        <v>395</v>
      </c>
      <c r="C27" s="88">
        <v>75</v>
      </c>
      <c r="D27" s="89">
        <v>56</v>
      </c>
      <c r="E27" s="87" t="s">
        <v>396</v>
      </c>
      <c r="F27" s="88">
        <v>75</v>
      </c>
      <c r="G27" s="89">
        <v>59</v>
      </c>
      <c r="H27" s="77" t="s">
        <v>397</v>
      </c>
    </row>
    <row r="28" spans="1:9" ht="25" x14ac:dyDescent="0.3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350</v>
      </c>
      <c r="F28" s="84">
        <v>98</v>
      </c>
      <c r="G28" s="92" t="s">
        <v>228</v>
      </c>
    </row>
    <row r="29" spans="1:9" ht="25" x14ac:dyDescent="0.3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351</v>
      </c>
      <c r="F29" s="84">
        <v>98</v>
      </c>
      <c r="G29" s="92" t="s">
        <v>228</v>
      </c>
    </row>
    <row r="30" spans="1:9" ht="25" x14ac:dyDescent="0.3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352</v>
      </c>
      <c r="F30" s="84">
        <v>96</v>
      </c>
      <c r="G30" s="89" t="s">
        <v>228</v>
      </c>
    </row>
    <row r="31" spans="1:9" ht="25" x14ac:dyDescent="0.3">
      <c r="A31" s="81" t="s">
        <v>260</v>
      </c>
      <c r="B31" s="87" t="s">
        <v>261</v>
      </c>
      <c r="C31" s="87">
        <v>80</v>
      </c>
      <c r="D31" s="95" t="s">
        <v>389</v>
      </c>
      <c r="E31" s="84" t="s">
        <v>364</v>
      </c>
      <c r="F31" s="84">
        <v>77</v>
      </c>
      <c r="G31" s="95" t="s">
        <v>389</v>
      </c>
    </row>
    <row r="32" spans="1:9" ht="25" x14ac:dyDescent="0.3">
      <c r="A32" s="97" t="s">
        <v>398</v>
      </c>
      <c r="B32" s="98" t="s">
        <v>399</v>
      </c>
      <c r="C32" s="98">
        <v>75</v>
      </c>
      <c r="D32" s="98">
        <v>60</v>
      </c>
      <c r="E32" s="98" t="s">
        <v>400</v>
      </c>
      <c r="F32" s="98">
        <v>62</v>
      </c>
      <c r="G32" s="98">
        <v>60</v>
      </c>
      <c r="H32" s="77" t="s">
        <v>397</v>
      </c>
    </row>
    <row r="34" spans="1:8" ht="25" x14ac:dyDescent="0.3">
      <c r="A34" s="96" t="s">
        <v>401</v>
      </c>
      <c r="B34" s="103" t="s">
        <v>147</v>
      </c>
      <c r="C34" s="104"/>
      <c r="D34" s="76" t="s">
        <v>148</v>
      </c>
      <c r="E34" s="103" t="s">
        <v>320</v>
      </c>
      <c r="F34" s="104"/>
      <c r="G34" s="76" t="s">
        <v>148</v>
      </c>
    </row>
    <row r="35" spans="1:8" ht="50" x14ac:dyDescent="0.3">
      <c r="A35" s="78" t="s">
        <v>379</v>
      </c>
      <c r="B35" s="79" t="s">
        <v>336</v>
      </c>
      <c r="C35" s="80" t="s">
        <v>151</v>
      </c>
      <c r="D35" s="79" t="s">
        <v>380</v>
      </c>
      <c r="E35" s="79" t="s">
        <v>336</v>
      </c>
      <c r="F35" s="80" t="s">
        <v>151</v>
      </c>
      <c r="G35" s="79" t="s">
        <v>380</v>
      </c>
    </row>
    <row r="36" spans="1:8" ht="25" x14ac:dyDescent="0.3">
      <c r="A36" s="81" t="s">
        <v>381</v>
      </c>
      <c r="B36" s="82" t="s">
        <v>402</v>
      </c>
      <c r="C36" s="83">
        <v>93</v>
      </c>
      <c r="D36" s="84">
        <v>40</v>
      </c>
      <c r="E36" s="82" t="s">
        <v>403</v>
      </c>
      <c r="F36" s="83">
        <v>95</v>
      </c>
      <c r="G36" s="84">
        <v>70</v>
      </c>
    </row>
    <row r="37" spans="1:8" ht="25" x14ac:dyDescent="0.3">
      <c r="A37" s="81" t="s">
        <v>384</v>
      </c>
      <c r="B37" s="84" t="s">
        <v>404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5" x14ac:dyDescent="0.3">
      <c r="A38" s="81" t="s">
        <v>387</v>
      </c>
      <c r="B38" s="87" t="s">
        <v>405</v>
      </c>
      <c r="C38" s="88">
        <v>79</v>
      </c>
      <c r="D38" s="89">
        <v>62</v>
      </c>
      <c r="E38" s="87" t="s">
        <v>406</v>
      </c>
      <c r="F38" s="88">
        <v>80</v>
      </c>
      <c r="G38" s="89">
        <v>60</v>
      </c>
      <c r="H38" s="77" t="s">
        <v>397</v>
      </c>
    </row>
    <row r="39" spans="1:8" ht="25" x14ac:dyDescent="0.3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350</v>
      </c>
      <c r="F39" s="84">
        <v>99</v>
      </c>
      <c r="G39" s="92" t="s">
        <v>228</v>
      </c>
    </row>
    <row r="40" spans="1:8" ht="25" x14ac:dyDescent="0.3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351</v>
      </c>
      <c r="F40" s="84">
        <v>99</v>
      </c>
      <c r="G40" s="92" t="s">
        <v>228</v>
      </c>
    </row>
    <row r="41" spans="1:8" ht="25" x14ac:dyDescent="0.3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352</v>
      </c>
      <c r="F41" s="84">
        <v>96</v>
      </c>
      <c r="G41" s="89" t="s">
        <v>228</v>
      </c>
    </row>
    <row r="42" spans="1:8" ht="25" x14ac:dyDescent="0.3">
      <c r="A42" s="81" t="s">
        <v>260</v>
      </c>
      <c r="B42" s="87" t="s">
        <v>272</v>
      </c>
      <c r="C42" s="87">
        <v>80</v>
      </c>
      <c r="D42" s="95" t="s">
        <v>389</v>
      </c>
      <c r="E42" s="84" t="s">
        <v>407</v>
      </c>
      <c r="F42" s="84">
        <v>75</v>
      </c>
      <c r="G42" s="95" t="s">
        <v>389</v>
      </c>
    </row>
    <row r="43" spans="1:8" ht="25" x14ac:dyDescent="0.3">
      <c r="A43" s="97" t="s">
        <v>398</v>
      </c>
      <c r="B43" s="98" t="s">
        <v>408</v>
      </c>
      <c r="C43" s="98">
        <v>77</v>
      </c>
      <c r="D43" s="98">
        <v>68</v>
      </c>
      <c r="E43" s="98" t="s">
        <v>409</v>
      </c>
      <c r="F43" s="98">
        <v>75</v>
      </c>
      <c r="G43" s="98">
        <v>70</v>
      </c>
      <c r="H43" s="77" t="s">
        <v>397</v>
      </c>
    </row>
    <row r="45" spans="1:8" ht="25" x14ac:dyDescent="0.3">
      <c r="A45" s="96" t="s">
        <v>410</v>
      </c>
      <c r="B45" s="103" t="s">
        <v>320</v>
      </c>
      <c r="C45" s="104"/>
      <c r="D45" s="76" t="s">
        <v>148</v>
      </c>
    </row>
    <row r="46" spans="1:8" ht="50" x14ac:dyDescent="0.3">
      <c r="A46" s="78" t="s">
        <v>379</v>
      </c>
      <c r="B46" s="79" t="s">
        <v>336</v>
      </c>
      <c r="C46" s="80" t="s">
        <v>151</v>
      </c>
      <c r="D46" s="79" t="s">
        <v>380</v>
      </c>
    </row>
    <row r="47" spans="1:8" ht="25" x14ac:dyDescent="0.3">
      <c r="A47" s="81" t="s">
        <v>381</v>
      </c>
      <c r="B47" s="82" t="s">
        <v>403</v>
      </c>
      <c r="C47" s="83">
        <v>93</v>
      </c>
      <c r="D47" s="84">
        <v>40</v>
      </c>
    </row>
    <row r="48" spans="1:8" ht="25" x14ac:dyDescent="0.3">
      <c r="A48" s="81" t="s">
        <v>384</v>
      </c>
      <c r="B48" s="84" t="s">
        <v>411</v>
      </c>
      <c r="C48" s="85">
        <v>94</v>
      </c>
      <c r="D48" s="86">
        <v>40</v>
      </c>
    </row>
    <row r="49" spans="1:7" ht="25" x14ac:dyDescent="0.3">
      <c r="A49" s="81" t="s">
        <v>387</v>
      </c>
      <c r="B49" s="87" t="s">
        <v>406</v>
      </c>
      <c r="C49" s="88">
        <v>80</v>
      </c>
      <c r="D49" s="89">
        <v>60</v>
      </c>
    </row>
    <row r="50" spans="1:7" ht="25" x14ac:dyDescent="0.3">
      <c r="A50" s="90" t="s">
        <v>226</v>
      </c>
      <c r="B50" s="84" t="s">
        <v>350</v>
      </c>
      <c r="C50" s="84">
        <v>99</v>
      </c>
      <c r="D50" s="92" t="s">
        <v>228</v>
      </c>
    </row>
    <row r="51" spans="1:7" ht="25" x14ac:dyDescent="0.3">
      <c r="A51" s="90" t="s">
        <v>229</v>
      </c>
      <c r="B51" s="84" t="s">
        <v>351</v>
      </c>
      <c r="C51" s="84">
        <v>99</v>
      </c>
      <c r="D51" s="92" t="s">
        <v>228</v>
      </c>
    </row>
    <row r="52" spans="1:7" ht="25" x14ac:dyDescent="0.3">
      <c r="A52" s="94" t="s">
        <v>231</v>
      </c>
      <c r="B52" s="84" t="s">
        <v>352</v>
      </c>
      <c r="C52" s="84">
        <v>96</v>
      </c>
      <c r="D52" s="92" t="s">
        <v>228</v>
      </c>
    </row>
    <row r="53" spans="1:7" ht="25" x14ac:dyDescent="0.3">
      <c r="A53" s="81" t="s">
        <v>260</v>
      </c>
      <c r="B53" s="101" t="s">
        <v>407</v>
      </c>
      <c r="C53" s="87">
        <v>80</v>
      </c>
      <c r="D53" s="95" t="s">
        <v>389</v>
      </c>
    </row>
    <row r="54" spans="1:7" ht="25" x14ac:dyDescent="0.3">
      <c r="A54" s="97" t="s">
        <v>398</v>
      </c>
      <c r="B54" s="98" t="s">
        <v>409</v>
      </c>
      <c r="C54" s="98">
        <v>77</v>
      </c>
      <c r="D54" s="98">
        <v>68</v>
      </c>
    </row>
    <row r="56" spans="1:7" ht="25" x14ac:dyDescent="0.3">
      <c r="A56" s="96" t="s">
        <v>412</v>
      </c>
      <c r="B56" s="103" t="s">
        <v>147</v>
      </c>
      <c r="C56" s="104"/>
      <c r="D56" s="76" t="s">
        <v>148</v>
      </c>
      <c r="E56" s="103" t="s">
        <v>320</v>
      </c>
      <c r="F56" s="104"/>
      <c r="G56" s="76" t="s">
        <v>148</v>
      </c>
    </row>
    <row r="57" spans="1:7" ht="50" x14ac:dyDescent="0.3">
      <c r="A57" s="78" t="s">
        <v>379</v>
      </c>
      <c r="B57" s="79" t="s">
        <v>336</v>
      </c>
      <c r="C57" s="80" t="s">
        <v>151</v>
      </c>
      <c r="D57" s="79" t="s">
        <v>380</v>
      </c>
      <c r="E57" s="79" t="s">
        <v>336</v>
      </c>
      <c r="F57" s="80" t="s">
        <v>151</v>
      </c>
      <c r="G57" s="79" t="s">
        <v>380</v>
      </c>
    </row>
    <row r="58" spans="1:7" ht="25" x14ac:dyDescent="0.3">
      <c r="A58" s="81" t="s">
        <v>381</v>
      </c>
      <c r="B58" s="82" t="s">
        <v>382</v>
      </c>
      <c r="C58" s="83">
        <v>94</v>
      </c>
      <c r="D58" s="84">
        <v>40</v>
      </c>
      <c r="E58" s="82" t="s">
        <v>413</v>
      </c>
      <c r="F58" s="83">
        <v>95</v>
      </c>
      <c r="G58" s="84">
        <v>70</v>
      </c>
    </row>
    <row r="59" spans="1:7" ht="25" x14ac:dyDescent="0.3">
      <c r="A59" s="81" t="s">
        <v>384</v>
      </c>
      <c r="B59" s="84" t="s">
        <v>414</v>
      </c>
      <c r="C59" s="85">
        <v>94</v>
      </c>
      <c r="D59" s="86">
        <v>40</v>
      </c>
      <c r="E59" s="84">
        <v>3020</v>
      </c>
      <c r="F59" s="85">
        <v>95</v>
      </c>
      <c r="G59" s="86">
        <v>40</v>
      </c>
    </row>
    <row r="60" spans="1:7" ht="25" x14ac:dyDescent="0.3">
      <c r="A60" s="81" t="s">
        <v>387</v>
      </c>
      <c r="B60" s="87" t="s">
        <v>415</v>
      </c>
      <c r="C60" s="88">
        <v>79</v>
      </c>
      <c r="D60" s="89">
        <v>70</v>
      </c>
      <c r="E60" s="87" t="s">
        <v>416</v>
      </c>
      <c r="F60" s="88">
        <v>80</v>
      </c>
      <c r="G60" s="89">
        <v>60</v>
      </c>
    </row>
    <row r="61" spans="1:7" ht="25" x14ac:dyDescent="0.3">
      <c r="A61" s="90" t="s">
        <v>226</v>
      </c>
      <c r="B61" s="84" t="s">
        <v>227</v>
      </c>
      <c r="C61" s="91">
        <v>99</v>
      </c>
      <c r="D61" s="92" t="s">
        <v>228</v>
      </c>
      <c r="E61" s="84" t="s">
        <v>350</v>
      </c>
      <c r="F61" s="84">
        <v>99</v>
      </c>
      <c r="G61" s="92" t="s">
        <v>228</v>
      </c>
    </row>
    <row r="62" spans="1:7" ht="25" x14ac:dyDescent="0.3">
      <c r="A62" s="90" t="s">
        <v>229</v>
      </c>
      <c r="B62" s="84" t="s">
        <v>230</v>
      </c>
      <c r="C62" s="93">
        <v>99</v>
      </c>
      <c r="D62" s="92" t="s">
        <v>228</v>
      </c>
      <c r="E62" s="84" t="s">
        <v>351</v>
      </c>
      <c r="F62" s="84">
        <v>99</v>
      </c>
      <c r="G62" s="92" t="s">
        <v>228</v>
      </c>
    </row>
    <row r="63" spans="1:7" ht="25" x14ac:dyDescent="0.3">
      <c r="A63" s="94" t="s">
        <v>231</v>
      </c>
      <c r="B63" s="87" t="s">
        <v>232</v>
      </c>
      <c r="C63" s="88">
        <v>90</v>
      </c>
      <c r="D63" s="92" t="s">
        <v>228</v>
      </c>
      <c r="E63" s="84" t="s">
        <v>352</v>
      </c>
      <c r="F63" s="84">
        <v>96</v>
      </c>
      <c r="G63" s="89" t="s">
        <v>228</v>
      </c>
    </row>
    <row r="64" spans="1:7" ht="25" x14ac:dyDescent="0.3">
      <c r="A64" s="81" t="s">
        <v>260</v>
      </c>
      <c r="B64" s="87" t="s">
        <v>272</v>
      </c>
      <c r="C64" s="87">
        <v>80</v>
      </c>
      <c r="D64" s="95" t="s">
        <v>389</v>
      </c>
      <c r="E64" s="84" t="s">
        <v>407</v>
      </c>
      <c r="F64" s="84">
        <v>75</v>
      </c>
      <c r="G64" s="95" t="s">
        <v>389</v>
      </c>
    </row>
    <row r="65" spans="1:7" ht="25" x14ac:dyDescent="0.3">
      <c r="A65" s="97" t="s">
        <v>398</v>
      </c>
      <c r="B65" s="98" t="s">
        <v>417</v>
      </c>
      <c r="C65" s="98">
        <v>77</v>
      </c>
      <c r="D65" s="98">
        <v>70</v>
      </c>
      <c r="E65" s="98" t="s">
        <v>418</v>
      </c>
      <c r="F65" s="98">
        <v>76</v>
      </c>
      <c r="G65" s="98">
        <v>70</v>
      </c>
    </row>
    <row r="68" spans="1:7" ht="25" x14ac:dyDescent="0.3">
      <c r="A68" s="96" t="s">
        <v>419</v>
      </c>
      <c r="B68" s="103" t="s">
        <v>147</v>
      </c>
      <c r="C68" s="104"/>
      <c r="D68" s="76" t="s">
        <v>148</v>
      </c>
      <c r="E68" s="103" t="s">
        <v>320</v>
      </c>
      <c r="F68" s="104"/>
      <c r="G68" s="76" t="s">
        <v>148</v>
      </c>
    </row>
    <row r="69" spans="1:7" ht="50" x14ac:dyDescent="0.3">
      <c r="A69" s="78" t="s">
        <v>379</v>
      </c>
      <c r="B69" s="79" t="s">
        <v>336</v>
      </c>
      <c r="C69" s="80" t="s">
        <v>151</v>
      </c>
      <c r="D69" s="79" t="s">
        <v>380</v>
      </c>
      <c r="E69" s="79" t="s">
        <v>336</v>
      </c>
      <c r="F69" s="80" t="s">
        <v>151</v>
      </c>
      <c r="G69" s="79" t="s">
        <v>380</v>
      </c>
    </row>
    <row r="70" spans="1:7" ht="25" x14ac:dyDescent="0.3">
      <c r="A70" s="81" t="s">
        <v>381</v>
      </c>
      <c r="B70" s="82" t="s">
        <v>382</v>
      </c>
      <c r="C70" s="83">
        <v>94</v>
      </c>
      <c r="D70" s="84">
        <v>70</v>
      </c>
      <c r="E70" s="82" t="s">
        <v>413</v>
      </c>
      <c r="F70" s="83">
        <v>95</v>
      </c>
      <c r="G70" s="84">
        <v>70</v>
      </c>
    </row>
    <row r="71" spans="1:7" ht="25" x14ac:dyDescent="0.3">
      <c r="A71" s="81" t="s">
        <v>384</v>
      </c>
      <c r="B71" s="84" t="s">
        <v>414</v>
      </c>
      <c r="C71" s="85">
        <v>94</v>
      </c>
      <c r="D71" s="86">
        <v>70</v>
      </c>
      <c r="E71" s="84">
        <v>3020</v>
      </c>
      <c r="F71" s="85">
        <v>95</v>
      </c>
      <c r="G71" s="86">
        <v>70</v>
      </c>
    </row>
    <row r="72" spans="1:7" ht="25" x14ac:dyDescent="0.3">
      <c r="A72" s="81" t="s">
        <v>387</v>
      </c>
      <c r="B72" s="87" t="s">
        <v>415</v>
      </c>
      <c r="C72" s="88">
        <v>79</v>
      </c>
      <c r="D72" s="89">
        <v>70</v>
      </c>
      <c r="E72" s="87" t="s">
        <v>420</v>
      </c>
      <c r="F72" s="88">
        <v>80</v>
      </c>
      <c r="G72" s="89">
        <v>70</v>
      </c>
    </row>
    <row r="73" spans="1:7" ht="25" x14ac:dyDescent="0.3">
      <c r="A73" s="90" t="s">
        <v>226</v>
      </c>
      <c r="B73" s="84" t="s">
        <v>421</v>
      </c>
      <c r="C73" s="91">
        <v>99</v>
      </c>
      <c r="D73" s="92" t="s">
        <v>228</v>
      </c>
      <c r="E73" s="84" t="s">
        <v>422</v>
      </c>
      <c r="F73" s="84">
        <v>99</v>
      </c>
      <c r="G73" s="92" t="s">
        <v>228</v>
      </c>
    </row>
    <row r="74" spans="1:7" ht="25" x14ac:dyDescent="0.3">
      <c r="A74" s="90" t="s">
        <v>229</v>
      </c>
      <c r="B74" s="84" t="s">
        <v>230</v>
      </c>
      <c r="C74" s="93">
        <v>99</v>
      </c>
      <c r="D74" s="92" t="s">
        <v>228</v>
      </c>
      <c r="E74" s="84" t="s">
        <v>351</v>
      </c>
      <c r="F74" s="84">
        <v>99</v>
      </c>
      <c r="G74" s="92" t="s">
        <v>228</v>
      </c>
    </row>
    <row r="75" spans="1:7" ht="25" x14ac:dyDescent="0.3">
      <c r="A75" s="94" t="s">
        <v>231</v>
      </c>
      <c r="B75" s="87" t="s">
        <v>232</v>
      </c>
      <c r="C75" s="88">
        <v>90</v>
      </c>
      <c r="D75" s="92" t="s">
        <v>228</v>
      </c>
      <c r="E75" s="84" t="s">
        <v>352</v>
      </c>
      <c r="F75" s="84">
        <v>96</v>
      </c>
      <c r="G75" s="89" t="s">
        <v>228</v>
      </c>
    </row>
    <row r="76" spans="1:7" ht="25" x14ac:dyDescent="0.3">
      <c r="A76" s="81" t="s">
        <v>260</v>
      </c>
      <c r="B76" s="87" t="s">
        <v>430</v>
      </c>
      <c r="C76" s="87">
        <v>97</v>
      </c>
      <c r="D76" s="98">
        <v>50</v>
      </c>
      <c r="E76" s="84" t="s">
        <v>431</v>
      </c>
      <c r="F76" s="84">
        <v>97</v>
      </c>
      <c r="G76" s="98">
        <v>50</v>
      </c>
    </row>
    <row r="77" spans="1:7" ht="25" x14ac:dyDescent="0.3">
      <c r="A77" s="97" t="s">
        <v>398</v>
      </c>
      <c r="B77" s="98" t="s">
        <v>423</v>
      </c>
      <c r="C77" s="98">
        <v>75</v>
      </c>
      <c r="D77" s="98">
        <v>70</v>
      </c>
      <c r="E77" s="98" t="s">
        <v>424</v>
      </c>
      <c r="F77" s="98">
        <v>76</v>
      </c>
      <c r="G77" s="98">
        <v>70</v>
      </c>
    </row>
    <row r="80" spans="1:7" ht="25" x14ac:dyDescent="0.3">
      <c r="A80" s="96" t="s">
        <v>425</v>
      </c>
      <c r="B80" s="103" t="s">
        <v>147</v>
      </c>
      <c r="C80" s="104"/>
      <c r="D80" s="76" t="s">
        <v>148</v>
      </c>
      <c r="E80" s="103" t="s">
        <v>320</v>
      </c>
      <c r="F80" s="104"/>
      <c r="G80" s="76" t="s">
        <v>148</v>
      </c>
    </row>
    <row r="81" spans="1:7" ht="50" x14ac:dyDescent="0.3">
      <c r="A81" s="78" t="s">
        <v>379</v>
      </c>
      <c r="B81" s="79" t="s">
        <v>336</v>
      </c>
      <c r="C81" s="80" t="s">
        <v>151</v>
      </c>
      <c r="D81" s="79" t="s">
        <v>380</v>
      </c>
      <c r="E81" s="79" t="s">
        <v>336</v>
      </c>
      <c r="F81" s="80" t="s">
        <v>151</v>
      </c>
      <c r="G81" s="79" t="s">
        <v>380</v>
      </c>
    </row>
    <row r="82" spans="1:7" ht="25" x14ac:dyDescent="0.3">
      <c r="A82" s="81" t="s">
        <v>381</v>
      </c>
      <c r="B82" s="82" t="s">
        <v>426</v>
      </c>
      <c r="C82" s="83">
        <v>94</v>
      </c>
      <c r="D82" s="84">
        <v>70</v>
      </c>
      <c r="E82" s="82" t="s">
        <v>403</v>
      </c>
      <c r="F82" s="83">
        <v>95</v>
      </c>
      <c r="G82" s="84">
        <v>70</v>
      </c>
    </row>
    <row r="83" spans="1:7" ht="25" x14ac:dyDescent="0.3">
      <c r="A83" s="81" t="s">
        <v>384</v>
      </c>
      <c r="B83" s="84">
        <v>2400</v>
      </c>
      <c r="C83" s="85">
        <v>94</v>
      </c>
      <c r="D83" s="86">
        <v>70</v>
      </c>
      <c r="E83" s="84">
        <v>3015</v>
      </c>
      <c r="F83" s="85">
        <v>95</v>
      </c>
      <c r="G83" s="86">
        <v>70</v>
      </c>
    </row>
    <row r="84" spans="1:7" ht="25" x14ac:dyDescent="0.3">
      <c r="A84" s="81" t="s">
        <v>387</v>
      </c>
      <c r="B84" s="87" t="s">
        <v>427</v>
      </c>
      <c r="C84" s="88">
        <v>79</v>
      </c>
      <c r="D84" s="89">
        <v>70</v>
      </c>
      <c r="E84" s="87" t="s">
        <v>420</v>
      </c>
      <c r="F84" s="88">
        <v>80</v>
      </c>
      <c r="G84" s="89">
        <v>70</v>
      </c>
    </row>
    <row r="85" spans="1:7" ht="25" x14ac:dyDescent="0.3">
      <c r="A85" s="90" t="s">
        <v>226</v>
      </c>
      <c r="B85" s="84" t="s">
        <v>428</v>
      </c>
      <c r="C85" s="91">
        <v>99</v>
      </c>
      <c r="D85" s="92" t="s">
        <v>228</v>
      </c>
      <c r="E85" s="84" t="s">
        <v>422</v>
      </c>
      <c r="F85" s="84">
        <v>99</v>
      </c>
      <c r="G85" s="92" t="s">
        <v>228</v>
      </c>
    </row>
    <row r="86" spans="1:7" ht="25" x14ac:dyDescent="0.3">
      <c r="A86" s="90" t="s">
        <v>229</v>
      </c>
      <c r="B86" s="84" t="s">
        <v>429</v>
      </c>
      <c r="C86" s="93">
        <v>99</v>
      </c>
      <c r="D86" s="92" t="s">
        <v>228</v>
      </c>
      <c r="E86" s="84" t="s">
        <v>351</v>
      </c>
      <c r="F86" s="84">
        <v>99</v>
      </c>
      <c r="G86" s="92" t="s">
        <v>228</v>
      </c>
    </row>
    <row r="87" spans="1:7" ht="25" x14ac:dyDescent="0.3">
      <c r="A87" s="94" t="s">
        <v>231</v>
      </c>
      <c r="B87" s="87" t="s">
        <v>232</v>
      </c>
      <c r="C87" s="88">
        <v>90</v>
      </c>
      <c r="D87" s="92" t="s">
        <v>228</v>
      </c>
      <c r="E87" s="84" t="s">
        <v>352</v>
      </c>
      <c r="F87" s="84">
        <v>96</v>
      </c>
      <c r="G87" s="89" t="s">
        <v>228</v>
      </c>
    </row>
    <row r="88" spans="1:7" ht="25" x14ac:dyDescent="0.3">
      <c r="A88" s="81" t="s">
        <v>260</v>
      </c>
      <c r="B88" s="87" t="s">
        <v>430</v>
      </c>
      <c r="C88" s="87">
        <v>97</v>
      </c>
      <c r="D88" s="98">
        <v>50</v>
      </c>
      <c r="E88" s="84" t="s">
        <v>431</v>
      </c>
      <c r="F88" s="84">
        <v>97</v>
      </c>
      <c r="G88" s="98">
        <v>50</v>
      </c>
    </row>
    <row r="89" spans="1:7" ht="25" x14ac:dyDescent="0.3">
      <c r="A89" s="97" t="s">
        <v>398</v>
      </c>
      <c r="B89" s="98" t="s">
        <v>408</v>
      </c>
      <c r="C89" s="98">
        <v>75</v>
      </c>
      <c r="D89" s="98">
        <v>70</v>
      </c>
      <c r="E89" s="98" t="s">
        <v>424</v>
      </c>
      <c r="F89" s="98">
        <v>76</v>
      </c>
      <c r="G89" s="98">
        <v>70</v>
      </c>
    </row>
  </sheetData>
  <mergeCells count="15">
    <mergeCell ref="B80:C80"/>
    <mergeCell ref="E80:F80"/>
    <mergeCell ref="B68:C68"/>
    <mergeCell ref="E68:F68"/>
    <mergeCell ref="B1:C1"/>
    <mergeCell ref="E1:F1"/>
    <mergeCell ref="B12:C12"/>
    <mergeCell ref="E12:F12"/>
    <mergeCell ref="B23:C23"/>
    <mergeCell ref="E23:F23"/>
    <mergeCell ref="B45:C45"/>
    <mergeCell ref="B56:C56"/>
    <mergeCell ref="E56:F56"/>
    <mergeCell ref="B34:C34"/>
    <mergeCell ref="E34:F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baseColWidth="10" defaultColWidth="11.5" defaultRowHeight="15" x14ac:dyDescent="0.2"/>
  <cols>
    <col min="1" max="1" width="59.1640625" customWidth="1"/>
    <col min="2" max="2" width="35.6640625" customWidth="1"/>
    <col min="3" max="3" width="33.33203125" customWidth="1"/>
  </cols>
  <sheetData>
    <row r="1" spans="1:3" ht="60" x14ac:dyDescent="0.2">
      <c r="A1" s="50" t="s">
        <v>432</v>
      </c>
      <c r="B1" s="37" t="s">
        <v>320</v>
      </c>
      <c r="C1" s="36" t="s">
        <v>148</v>
      </c>
    </row>
    <row r="2" spans="1:3" ht="19" x14ac:dyDescent="0.25">
      <c r="A2" s="38" t="s">
        <v>149</v>
      </c>
      <c r="B2" s="40" t="s">
        <v>336</v>
      </c>
      <c r="C2" s="40"/>
    </row>
    <row r="3" spans="1:3" ht="19" hidden="1" x14ac:dyDescent="0.2">
      <c r="A3" s="22" t="s">
        <v>433</v>
      </c>
      <c r="B3" s="15"/>
      <c r="C3" s="42"/>
    </row>
    <row r="4" spans="1:3" ht="16" hidden="1" x14ac:dyDescent="0.2">
      <c r="A4" s="2" t="s">
        <v>434</v>
      </c>
      <c r="B4" s="15"/>
      <c r="C4" s="4"/>
    </row>
    <row r="5" spans="1:3" ht="16" hidden="1" x14ac:dyDescent="0.2">
      <c r="A5" s="2" t="s">
        <v>435</v>
      </c>
      <c r="B5" s="1"/>
      <c r="C5" s="57"/>
    </row>
    <row r="6" spans="1:3" ht="16" hidden="1" x14ac:dyDescent="0.2">
      <c r="A6" s="2" t="s">
        <v>436</v>
      </c>
      <c r="B6" s="4"/>
      <c r="C6" s="4"/>
    </row>
    <row r="7" spans="1:3" ht="16" hidden="1" x14ac:dyDescent="0.2">
      <c r="A7" s="2" t="s">
        <v>158</v>
      </c>
      <c r="B7" s="4"/>
      <c r="C7" s="4"/>
    </row>
    <row r="8" spans="1:3" ht="16" x14ac:dyDescent="0.2">
      <c r="A8" s="2" t="s">
        <v>160</v>
      </c>
      <c r="B8" s="1" t="s">
        <v>437</v>
      </c>
      <c r="C8" s="58" t="s">
        <v>438</v>
      </c>
    </row>
    <row r="9" spans="1:3" ht="16" x14ac:dyDescent="0.2">
      <c r="A9" s="2" t="s">
        <v>162</v>
      </c>
      <c r="B9" s="4" t="s">
        <v>439</v>
      </c>
      <c r="C9" s="57" t="s">
        <v>440</v>
      </c>
    </row>
    <row r="10" spans="1:3" ht="16" hidden="1" x14ac:dyDescent="0.2">
      <c r="A10" s="2" t="s">
        <v>164</v>
      </c>
      <c r="B10" s="4"/>
      <c r="C10" s="4"/>
    </row>
    <row r="11" spans="1:3" ht="16" hidden="1" x14ac:dyDescent="0.2">
      <c r="A11" s="2" t="s">
        <v>441</v>
      </c>
      <c r="B11" s="4"/>
      <c r="C11" s="57"/>
    </row>
    <row r="12" spans="1:3" ht="16" hidden="1" x14ac:dyDescent="0.2">
      <c r="A12" s="2" t="s">
        <v>168</v>
      </c>
      <c r="B12" s="4"/>
      <c r="C12" s="4"/>
    </row>
    <row r="13" spans="1:3" ht="16" hidden="1" x14ac:dyDescent="0.2">
      <c r="A13" s="2" t="s">
        <v>172</v>
      </c>
      <c r="B13" s="1"/>
      <c r="C13" s="57"/>
    </row>
    <row r="14" spans="1:3" ht="16" hidden="1" x14ac:dyDescent="0.2">
      <c r="A14" s="2" t="s">
        <v>442</v>
      </c>
      <c r="B14" s="10"/>
      <c r="C14" s="4"/>
    </row>
    <row r="15" spans="1:3" ht="16" hidden="1" x14ac:dyDescent="0.2">
      <c r="A15" s="2" t="s">
        <v>443</v>
      </c>
      <c r="B15" s="4"/>
      <c r="C15" s="4"/>
    </row>
    <row r="16" spans="1:3" ht="16" hidden="1" x14ac:dyDescent="0.2">
      <c r="A16" s="2" t="s">
        <v>174</v>
      </c>
      <c r="B16" s="1"/>
      <c r="C16" s="4"/>
    </row>
    <row r="17" spans="1:3" ht="16" hidden="1" x14ac:dyDescent="0.2">
      <c r="A17" s="2" t="s">
        <v>444</v>
      </c>
      <c r="B17" s="4"/>
      <c r="C17" s="4"/>
    </row>
    <row r="18" spans="1:3" ht="16" hidden="1" x14ac:dyDescent="0.2">
      <c r="A18" s="2" t="s">
        <v>445</v>
      </c>
      <c r="B18" s="1"/>
      <c r="C18" s="4"/>
    </row>
    <row r="19" spans="1:3" ht="16" hidden="1" x14ac:dyDescent="0.2">
      <c r="A19" s="3" t="s">
        <v>180</v>
      </c>
      <c r="B19" s="46"/>
      <c r="C19" s="4"/>
    </row>
    <row r="20" spans="1:3" ht="16" hidden="1" x14ac:dyDescent="0.2">
      <c r="A20" s="43" t="s">
        <v>446</v>
      </c>
      <c r="B20" s="7"/>
      <c r="C20" s="7"/>
    </row>
    <row r="21" spans="1:3" ht="19" x14ac:dyDescent="0.25">
      <c r="A21" s="38" t="s">
        <v>184</v>
      </c>
      <c r="B21" s="40"/>
      <c r="C21" s="59"/>
    </row>
    <row r="22" spans="1:3" ht="16" hidden="1" x14ac:dyDescent="0.2">
      <c r="A22" s="22" t="s">
        <v>185</v>
      </c>
      <c r="B22" s="27"/>
      <c r="C22" s="54"/>
    </row>
    <row r="23" spans="1:3" ht="16" x14ac:dyDescent="0.2">
      <c r="A23" s="2" t="s">
        <v>187</v>
      </c>
      <c r="B23" s="23" t="s">
        <v>447</v>
      </c>
      <c r="C23" s="56" t="s">
        <v>448</v>
      </c>
    </row>
    <row r="24" spans="1:3" ht="16" hidden="1" x14ac:dyDescent="0.2">
      <c r="A24" s="2" t="s">
        <v>189</v>
      </c>
      <c r="B24" s="10"/>
      <c r="C24" s="56"/>
    </row>
    <row r="25" spans="1:3" ht="16" x14ac:dyDescent="0.2">
      <c r="A25" s="2" t="s">
        <v>191</v>
      </c>
      <c r="B25" s="10" t="s">
        <v>449</v>
      </c>
      <c r="C25" s="56" t="s">
        <v>450</v>
      </c>
    </row>
    <row r="26" spans="1:3" ht="16" x14ac:dyDescent="0.2">
      <c r="A26" s="2" t="s">
        <v>193</v>
      </c>
      <c r="B26" s="10" t="s">
        <v>451</v>
      </c>
      <c r="C26" s="56" t="s">
        <v>452</v>
      </c>
    </row>
    <row r="27" spans="1:3" ht="16" hidden="1" x14ac:dyDescent="0.2">
      <c r="A27" s="2" t="s">
        <v>453</v>
      </c>
      <c r="B27" s="10"/>
      <c r="C27" s="56"/>
    </row>
    <row r="28" spans="1:3" ht="16" hidden="1" x14ac:dyDescent="0.2">
      <c r="A28" s="2" t="s">
        <v>197</v>
      </c>
      <c r="B28" s="10"/>
      <c r="C28" s="56"/>
    </row>
    <row r="29" spans="1:3" ht="16" hidden="1" x14ac:dyDescent="0.2">
      <c r="A29" s="2" t="s">
        <v>199</v>
      </c>
      <c r="B29" s="10"/>
      <c r="C29" s="56"/>
    </row>
    <row r="30" spans="1:3" ht="16" hidden="1" x14ac:dyDescent="0.2">
      <c r="A30" s="2" t="s">
        <v>454</v>
      </c>
      <c r="B30" s="10"/>
      <c r="C30" s="56"/>
    </row>
    <row r="31" spans="1:3" ht="16" hidden="1" x14ac:dyDescent="0.2">
      <c r="A31" s="2" t="s">
        <v>455</v>
      </c>
      <c r="B31" s="10"/>
      <c r="C31" s="56"/>
    </row>
    <row r="32" spans="1:3" ht="19" hidden="1" x14ac:dyDescent="0.25">
      <c r="A32" s="29" t="s">
        <v>205</v>
      </c>
      <c r="B32" s="14"/>
      <c r="C32" s="60"/>
    </row>
    <row r="33" spans="1:3" ht="16" hidden="1" x14ac:dyDescent="0.2">
      <c r="A33" s="2" t="s">
        <v>208</v>
      </c>
      <c r="B33" s="47"/>
      <c r="C33" s="56"/>
    </row>
    <row r="34" spans="1:3" ht="16" hidden="1" x14ac:dyDescent="0.2">
      <c r="A34" s="2" t="s">
        <v>211</v>
      </c>
      <c r="B34" s="47"/>
      <c r="C34" s="56"/>
    </row>
    <row r="35" spans="1:3" ht="16" hidden="1" x14ac:dyDescent="0.2">
      <c r="A35" s="2" t="s">
        <v>212</v>
      </c>
      <c r="B35" s="47"/>
      <c r="C35" s="56"/>
    </row>
    <row r="36" spans="1:3" ht="16" hidden="1" x14ac:dyDescent="0.2">
      <c r="A36" s="2" t="s">
        <v>187</v>
      </c>
      <c r="B36" s="47"/>
      <c r="C36" s="53"/>
    </row>
    <row r="37" spans="1:3" ht="19" x14ac:dyDescent="0.25">
      <c r="A37" s="29" t="s">
        <v>214</v>
      </c>
      <c r="B37" s="12"/>
      <c r="C37" s="61"/>
    </row>
    <row r="38" spans="1:3" ht="16" hidden="1" x14ac:dyDescent="0.2">
      <c r="A38" s="2" t="s">
        <v>215</v>
      </c>
      <c r="B38" s="48"/>
      <c r="C38" s="62"/>
    </row>
    <row r="39" spans="1:3" ht="16" hidden="1" x14ac:dyDescent="0.2">
      <c r="A39" s="2" t="s">
        <v>217</v>
      </c>
      <c r="B39" s="4"/>
      <c r="C39" s="62"/>
    </row>
    <row r="40" spans="1:3" ht="16" x14ac:dyDescent="0.2">
      <c r="A40" s="2" t="s">
        <v>218</v>
      </c>
      <c r="B40" s="4" t="s">
        <v>456</v>
      </c>
      <c r="C40" s="58" t="s">
        <v>457</v>
      </c>
    </row>
    <row r="41" spans="1:3" ht="16" x14ac:dyDescent="0.2">
      <c r="A41" s="2" t="s">
        <v>219</v>
      </c>
      <c r="B41" s="4" t="s">
        <v>458</v>
      </c>
      <c r="C41" s="58" t="s">
        <v>459</v>
      </c>
    </row>
    <row r="42" spans="1:3" ht="16" hidden="1" x14ac:dyDescent="0.2">
      <c r="A42" s="22" t="s">
        <v>220</v>
      </c>
      <c r="B42" s="15"/>
      <c r="C42" s="15"/>
    </row>
    <row r="43" spans="1:3" ht="16" hidden="1" x14ac:dyDescent="0.2">
      <c r="A43" s="22" t="s">
        <v>221</v>
      </c>
      <c r="B43" s="45"/>
      <c r="C43" s="15"/>
    </row>
    <row r="44" spans="1:3" ht="16" hidden="1" x14ac:dyDescent="0.2">
      <c r="A44" s="2" t="s">
        <v>222</v>
      </c>
      <c r="B44" s="4"/>
      <c r="C44" s="4"/>
    </row>
    <row r="45" spans="1:3" ht="16" x14ac:dyDescent="0.2">
      <c r="A45" s="2" t="s">
        <v>223</v>
      </c>
      <c r="B45" s="1" t="s">
        <v>460</v>
      </c>
      <c r="C45" s="4" t="s">
        <v>461</v>
      </c>
    </row>
    <row r="46" spans="1:3" ht="16" hidden="1" x14ac:dyDescent="0.2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39"/>
  <sheetViews>
    <sheetView workbookViewId="0">
      <selection activeCell="B31" sqref="B31"/>
    </sheetView>
  </sheetViews>
  <sheetFormatPr baseColWidth="10" defaultColWidth="11.5" defaultRowHeight="15" x14ac:dyDescent="0.2"/>
  <cols>
    <col min="1" max="1" width="62.1640625" customWidth="1"/>
    <col min="2" max="2" width="35.83203125" customWidth="1"/>
    <col min="3" max="3" width="40.6640625" customWidth="1"/>
  </cols>
  <sheetData>
    <row r="1" spans="1:4" ht="81" x14ac:dyDescent="0.2">
      <c r="A1" s="71" t="s">
        <v>462</v>
      </c>
      <c r="B1" s="72" t="s">
        <v>463</v>
      </c>
      <c r="C1" s="73" t="s">
        <v>464</v>
      </c>
    </row>
    <row r="2" spans="1:4" ht="22" x14ac:dyDescent="0.25">
      <c r="A2" s="69" t="s">
        <v>465</v>
      </c>
      <c r="B2" s="70" t="s">
        <v>466</v>
      </c>
      <c r="C2" s="70" t="s">
        <v>467</v>
      </c>
    </row>
    <row r="3" spans="1:4" ht="22" x14ac:dyDescent="0.25">
      <c r="A3" s="69" t="s">
        <v>468</v>
      </c>
      <c r="B3" s="70" t="s">
        <v>469</v>
      </c>
      <c r="C3" s="70" t="s">
        <v>232</v>
      </c>
    </row>
    <row r="4" spans="1:4" ht="22" x14ac:dyDescent="0.25">
      <c r="A4" s="69" t="s">
        <v>470</v>
      </c>
      <c r="B4" s="74" t="s">
        <v>471</v>
      </c>
      <c r="C4" s="74" t="s">
        <v>471</v>
      </c>
    </row>
    <row r="5" spans="1:4" ht="22" x14ac:dyDescent="0.25">
      <c r="A5" s="69" t="s">
        <v>472</v>
      </c>
      <c r="B5" s="74" t="s">
        <v>471</v>
      </c>
      <c r="C5" s="74" t="s">
        <v>471</v>
      </c>
    </row>
    <row r="6" spans="1:4" ht="22" x14ac:dyDescent="0.25">
      <c r="A6" s="69" t="s">
        <v>473</v>
      </c>
      <c r="B6" s="70" t="s">
        <v>474</v>
      </c>
      <c r="C6" s="70" t="s">
        <v>475</v>
      </c>
    </row>
    <row r="7" spans="1:4" ht="22" x14ac:dyDescent="0.25">
      <c r="A7" s="69" t="s">
        <v>476</v>
      </c>
      <c r="B7" s="70" t="s">
        <v>477</v>
      </c>
      <c r="C7" s="70" t="s">
        <v>478</v>
      </c>
      <c r="D7" t="s">
        <v>479</v>
      </c>
    </row>
    <row r="8" spans="1:4" ht="22" x14ac:dyDescent="0.25">
      <c r="A8" s="69" t="s">
        <v>480</v>
      </c>
      <c r="B8" s="70" t="s">
        <v>331</v>
      </c>
      <c r="C8" s="70" t="s">
        <v>481</v>
      </c>
      <c r="D8" t="s">
        <v>482</v>
      </c>
    </row>
    <row r="9" spans="1:4" ht="22" x14ac:dyDescent="0.25">
      <c r="A9" s="69" t="s">
        <v>483</v>
      </c>
      <c r="B9" s="70" t="s">
        <v>484</v>
      </c>
      <c r="C9" s="70" t="s">
        <v>485</v>
      </c>
      <c r="D9" t="s">
        <v>486</v>
      </c>
    </row>
    <row r="10" spans="1:4" ht="22" x14ac:dyDescent="0.25">
      <c r="A10" s="69" t="s">
        <v>487</v>
      </c>
      <c r="B10" s="70">
        <v>26000</v>
      </c>
      <c r="C10" s="70">
        <v>20000</v>
      </c>
    </row>
    <row r="11" spans="1:4" ht="22" x14ac:dyDescent="0.25">
      <c r="A11" s="69" t="s">
        <v>488</v>
      </c>
      <c r="B11" s="70">
        <v>445</v>
      </c>
      <c r="C11" s="70">
        <v>371</v>
      </c>
    </row>
    <row r="12" spans="1:4" ht="22" x14ac:dyDescent="0.25">
      <c r="A12" s="69" t="s">
        <v>489</v>
      </c>
      <c r="B12" s="70">
        <v>96000</v>
      </c>
      <c r="C12" s="70">
        <v>80000</v>
      </c>
    </row>
    <row r="13" spans="1:4" ht="22" x14ac:dyDescent="0.25">
      <c r="A13" s="69" t="s">
        <v>490</v>
      </c>
      <c r="B13" s="70">
        <v>400000</v>
      </c>
      <c r="C13" s="70">
        <v>300000</v>
      </c>
    </row>
    <row r="14" spans="1:4" ht="22" x14ac:dyDescent="0.25">
      <c r="A14" s="69" t="s">
        <v>491</v>
      </c>
      <c r="B14" s="70">
        <v>200000</v>
      </c>
      <c r="C14" s="70">
        <v>150000</v>
      </c>
    </row>
    <row r="25" spans="1:3" x14ac:dyDescent="0.2">
      <c r="B25" s="102" t="s">
        <v>492</v>
      </c>
      <c r="C25" s="102" t="s">
        <v>492</v>
      </c>
    </row>
    <row r="26" spans="1:3" x14ac:dyDescent="0.2">
      <c r="A26" s="102" t="s">
        <v>493</v>
      </c>
      <c r="B26" s="102" t="s">
        <v>464</v>
      </c>
      <c r="C26" s="102" t="s">
        <v>463</v>
      </c>
    </row>
    <row r="27" spans="1:3" x14ac:dyDescent="0.2">
      <c r="A27" t="s">
        <v>494</v>
      </c>
      <c r="B27">
        <v>1100</v>
      </c>
      <c r="C27">
        <v>1600</v>
      </c>
    </row>
    <row r="28" spans="1:3" x14ac:dyDescent="0.2">
      <c r="A28" t="s">
        <v>495</v>
      </c>
      <c r="B28">
        <v>1000</v>
      </c>
      <c r="C28">
        <v>1500</v>
      </c>
    </row>
    <row r="29" spans="1:3" x14ac:dyDescent="0.2">
      <c r="A29" t="s">
        <v>496</v>
      </c>
      <c r="B29">
        <v>4500</v>
      </c>
      <c r="C29">
        <v>5500</v>
      </c>
    </row>
    <row r="30" spans="1:3" x14ac:dyDescent="0.2">
      <c r="A30" t="s">
        <v>497</v>
      </c>
      <c r="B30" t="s">
        <v>471</v>
      </c>
      <c r="C30" t="s">
        <v>471</v>
      </c>
    </row>
    <row r="31" spans="1:3" x14ac:dyDescent="0.2">
      <c r="A31" t="s">
        <v>498</v>
      </c>
      <c r="B31" t="s">
        <v>471</v>
      </c>
      <c r="C31" t="s">
        <v>471</v>
      </c>
    </row>
    <row r="32" spans="1:3" x14ac:dyDescent="0.2">
      <c r="A32" t="s">
        <v>499</v>
      </c>
      <c r="B32">
        <v>650</v>
      </c>
      <c r="C32">
        <v>900</v>
      </c>
    </row>
    <row r="33" spans="1:3" x14ac:dyDescent="0.2">
      <c r="A33" t="s">
        <v>500</v>
      </c>
      <c r="B33">
        <v>350</v>
      </c>
      <c r="C33">
        <v>550</v>
      </c>
    </row>
    <row r="34" spans="1:3" x14ac:dyDescent="0.2">
      <c r="A34" t="s">
        <v>501</v>
      </c>
      <c r="B34">
        <v>300</v>
      </c>
      <c r="C34">
        <v>450</v>
      </c>
    </row>
    <row r="35" spans="1:3" x14ac:dyDescent="0.2">
      <c r="A35" t="s">
        <v>502</v>
      </c>
      <c r="B35">
        <v>150</v>
      </c>
      <c r="C35">
        <v>250</v>
      </c>
    </row>
    <row r="36" spans="1:3" x14ac:dyDescent="0.2">
      <c r="A36" t="s">
        <v>503</v>
      </c>
      <c r="B36" t="s">
        <v>504</v>
      </c>
      <c r="C36" t="s">
        <v>505</v>
      </c>
    </row>
    <row r="37" spans="1:3" x14ac:dyDescent="0.2">
      <c r="A37" t="s">
        <v>506</v>
      </c>
      <c r="B37" t="s">
        <v>507</v>
      </c>
      <c r="C37" t="s">
        <v>508</v>
      </c>
    </row>
    <row r="38" spans="1:3" x14ac:dyDescent="0.2">
      <c r="A38" t="s">
        <v>509</v>
      </c>
      <c r="B38" t="s">
        <v>510</v>
      </c>
      <c r="C38" t="s">
        <v>511</v>
      </c>
    </row>
    <row r="39" spans="1:3" x14ac:dyDescent="0.2">
      <c r="A39" t="s">
        <v>512</v>
      </c>
      <c r="B39">
        <v>128</v>
      </c>
      <c r="C39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a3ce5a06-b323-45b4-8d97-2f59321c9a5a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D764E2-0E35-4957-B738-9033D3F0B0F5}">
  <ds:schemaRefs>
    <ds:schemaRef ds:uri="http://schemas.microsoft.com/office/2006/metadata/properties"/>
    <ds:schemaRef ds:uri="http://schemas.microsoft.com/office/infopath/2007/PartnerControls"/>
    <ds:schemaRef ds:uri="9bf4d24f-a117-48f7-91e1-2035a8c734fd"/>
    <ds:schemaRef ds:uri="cb645b5b-9a36-43da-96bf-ab72ec91ddff"/>
    <ds:schemaRef ds:uri="0b7692b1-2532-40e4-a300-4d7fced4a07a"/>
  </ds:schemaRefs>
</ds:datastoreItem>
</file>

<file path=customXml/itemProps2.xml><?xml version="1.0" encoding="utf-8"?>
<ds:datastoreItem xmlns:ds="http://schemas.openxmlformats.org/officeDocument/2006/customXml" ds:itemID="{D75EC423-2542-4A93-99FE-CC28AA840E8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F876B3-44D4-4080-B40E-3DF67289D40E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C639165A-13FF-4A9F-A5E9-0E8F0976D5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f4d24f-a117-48f7-91e1-2035a8c734fd"/>
    <ds:schemaRef ds:uri="0b7692b1-2532-40e4-a300-4d7fced4a07a"/>
    <ds:schemaRef ds:uri="cb645b5b-9a36-43da-96bf-ab72ec91dd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ISSUES-PR's</vt:lpstr>
      <vt:lpstr>SRX400</vt:lpstr>
      <vt:lpstr>SRX440</vt:lpstr>
      <vt:lpstr>DS-1</vt:lpstr>
      <vt:lpstr>Prelimnary data</vt:lpstr>
      <vt:lpstr>Second Set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Shivang Singh</cp:lastModifiedBy>
  <cp:revision/>
  <dcterms:created xsi:type="dcterms:W3CDTF">2023-04-12T15:54:29Z</dcterms:created>
  <dcterms:modified xsi:type="dcterms:W3CDTF">2026-07-16T06:58:27Z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