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746" documentId="8_{1A74DE8B-9E17-7342-8645-B5886219718B}" xr6:coauthVersionLast="47" xr6:coauthVersionMax="47" xr10:uidLastSave="{291A0975-2E99-8E40-9791-D0260B6B2859}"/>
  <bookViews>
    <workbookView xWindow="0" yWindow="780" windowWidth="36000" windowHeight="21340" activeTab="2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'ISSUES-PR''s'!$A$1:$H$94</definedName>
    <definedName name="_xlnm._FilterDatabase" localSheetId="2" hidden="1">'SRX440'!$A$1:$F$102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0" l="1"/>
  <c r="F41" i="10"/>
  <c r="H38" i="10"/>
  <c r="G38" i="10"/>
  <c r="F38" i="10"/>
</calcChain>
</file>

<file path=xl/sharedStrings.xml><?xml version="1.0" encoding="utf-8"?>
<sst xmlns="http://schemas.openxmlformats.org/spreadsheetml/2006/main" count="1261" uniqueCount="488">
  <si>
    <t>number</t>
  </si>
  <si>
    <t>Synopsis</t>
  </si>
  <si>
    <t>Category</t>
  </si>
  <si>
    <t>Blocker</t>
  </si>
  <si>
    <t>State</t>
  </si>
  <si>
    <t>Responsible</t>
  </si>
  <si>
    <t>Dev-Owner</t>
  </si>
  <si>
    <t>dev-owner[manager]</t>
  </si>
  <si>
    <t>1915273-1</t>
  </si>
  <si>
    <t>26.1R1-EVO: Panther: SRX400: dot1dx crash is observed during SRX400 boot up</t>
  </si>
  <si>
    <t>sw-srx4xx-platform</t>
  </si>
  <si>
    <t>closed</t>
  </si>
  <si>
    <t>ndebnath</t>
  </si>
  <si>
    <t>mgalrani</t>
  </si>
  <si>
    <t>1926402-1</t>
  </si>
  <si>
    <t>26.2R1-EVO: Panther: SRX4XX: srxpfemand crash observed at ../sysdeps/unix/sysv/linux/select.c:69</t>
  </si>
  <si>
    <t>sw-srx-evo-pfe</t>
  </si>
  <si>
    <t>awaiting-build</t>
  </si>
  <si>
    <t>gramasub</t>
  </si>
  <si>
    <t>hzhang</t>
  </si>
  <si>
    <t>xzhu</t>
  </si>
  <si>
    <t>1926405-1</t>
  </si>
  <si>
    <t>26.2R1-EVO: Panther: SRX4XX: ARP resolution fails once the existing arp is cleared. Reboot is required to return to normal operation</t>
  </si>
  <si>
    <t>yogeshg</t>
  </si>
  <si>
    <t>jayaramr</t>
  </si>
  <si>
    <t>1926405-2</t>
  </si>
  <si>
    <t>1926405-3</t>
  </si>
  <si>
    <t>verify-resolution</t>
  </si>
  <si>
    <t>1926480-1</t>
  </si>
  <si>
    <t>26.2R1-EVO: Panther: SRX4XX: Only one core is exercised in UDP Performance testing</t>
  </si>
  <si>
    <t>FRS</t>
  </si>
  <si>
    <t>rkkiran</t>
  </si>
  <si>
    <t>1926480-2</t>
  </si>
  <si>
    <t>MR</t>
  </si>
  <si>
    <t>1926480-3</t>
  </si>
  <si>
    <t>XR</t>
  </si>
  <si>
    <t>1926694-1</t>
  </si>
  <si>
    <t>26.2R1-EVO: Panther: SRX4XX: "clear arp" all does not clear all arp entries</t>
  </si>
  <si>
    <t>mamireddy</t>
  </si>
  <si>
    <t>hhemmigesamp</t>
  </si>
  <si>
    <t>1926779-1</t>
  </si>
  <si>
    <t>26.2R1-EVO: Panther: SRX4XX: "clear interfaces statistics all" is not working as expected</t>
  </si>
  <si>
    <t>upatro</t>
  </si>
  <si>
    <t>tdrkarthik</t>
  </si>
  <si>
    <t>1932710-1</t>
  </si>
  <si>
    <t>26.2R1-EVO: Panther: SRX4XX: "show usp flow pmi stats" output is empty on the pfe, counters are not updated</t>
  </si>
  <si>
    <t>assigned</t>
  </si>
  <si>
    <t>xctang</t>
  </si>
  <si>
    <t>1932710-2</t>
  </si>
  <si>
    <t>1932710-3</t>
  </si>
  <si>
    <t>1932710-4</t>
  </si>
  <si>
    <t>1932916-1</t>
  </si>
  <si>
    <t>26.2R1-EVO: Panther: SRX4XX: upgrade the ike package fails on panther platforms</t>
  </si>
  <si>
    <t>pkn</t>
  </si>
  <si>
    <t>neerajgu</t>
  </si>
  <si>
    <t>1932916-2</t>
  </si>
  <si>
    <t>1932916-3</t>
  </si>
  <si>
    <t>1932916-4</t>
  </si>
  <si>
    <t>1933014-1</t>
  </si>
  <si>
    <t>26.2R1-EVO: Panther: SRX4XX: st0 interface statistics are not updated with monitor interface traffic output command</t>
  </si>
  <si>
    <t>sw-jsr-vpn</t>
  </si>
  <si>
    <t>abhamani</t>
  </si>
  <si>
    <t>1933014-2</t>
  </si>
  <si>
    <t>1933014-3</t>
  </si>
  <si>
    <t>1933021-1</t>
  </si>
  <si>
    <t>26.2R1-EVO: Panther: SRX4XX: it takes approx. 60 seconds to display the cpu on the system once traffic is started</t>
  </si>
  <si>
    <t>1933021-2</t>
  </si>
  <si>
    <t>1933021-3</t>
  </si>
  <si>
    <t>1933163-1</t>
  </si>
  <si>
    <t>26.2R1-EVO: Panther: SRX4XX: 100% packet drops is seen after sending UDP Traffic for couple of hours in IPSEC UDP Performance testing</t>
  </si>
  <si>
    <t>mingl</t>
  </si>
  <si>
    <t>1933163-2</t>
  </si>
  <si>
    <t>1933163-3</t>
  </si>
  <si>
    <t>1933192-1</t>
  </si>
  <si>
    <t>26.2R1-EVO: Panther: SRX4XX: Enhanced service mode configuration is not enabled on SRX4XX Platform</t>
  </si>
  <si>
    <t>anidawani</t>
  </si>
  <si>
    <t>1933192-2</t>
  </si>
  <si>
    <t>1933192-3</t>
  </si>
  <si>
    <t>1933195-1</t>
  </si>
  <si>
    <t>26.2R1-EVO: Panther: SRX4XX: "show usp memory segment" profile mentioned as "VSRX-HIGHMEM-NO-ADV-SERVICES" instead of SRX4XX</t>
  </si>
  <si>
    <t>raon</t>
  </si>
  <si>
    <t>1933195-2</t>
  </si>
  <si>
    <t>1933195-3</t>
  </si>
  <si>
    <t>1933636-1</t>
  </si>
  <si>
    <t>25.4X300-EVO: Panther: SRX400: ikemd crash @ ikedmgr_completeness_check_vpncfg</t>
  </si>
  <si>
    <t>1933636-2</t>
  </si>
  <si>
    <t>1933636-3</t>
  </si>
  <si>
    <t>1933957-1</t>
  </si>
  <si>
    <t>26.2R1-EVO: Panther: SRX4XX: srxpfe crash pmi_xform_ipsec_esp_decrypt_post (m=0x3b15bd040, ctx=&lt;optimized out&gt;) at ../../../../../src/pfe/common/drivers/pmi/pmi.c:838</t>
  </si>
  <si>
    <t>1933957-2</t>
  </si>
  <si>
    <t>1933957-3</t>
  </si>
  <si>
    <t>1933971-1</t>
  </si>
  <si>
    <t>26.2R1-EVO: Panther: SRX4XX: srxpfeamd crash __GI___libc_read (nbytes=272, buf=0xffffe41fd9c0, fd=4) at ../sysdeps/unix/sysv/linux/read.c:26</t>
  </si>
  <si>
    <t>Test</t>
  </si>
  <si>
    <t>1933971-2</t>
  </si>
  <si>
    <t>1933971-3</t>
  </si>
  <si>
    <t>1933974-1</t>
  </si>
  <si>
    <t>26.2R1-EVO: Panther: SRX4XX: Unable to get the stacktrace of srxpfeamd core after giving the sysroot path</t>
  </si>
  <si>
    <t>sw-evo-build-infra</t>
  </si>
  <si>
    <t>open</t>
  </si>
  <si>
    <t>evo-build-trolls</t>
  </si>
  <si>
    <t>1933974-2</t>
  </si>
  <si>
    <t>1933974-3</t>
  </si>
  <si>
    <t>1934311-1</t>
  </si>
  <si>
    <t>25.4X300-EVO: Panther: SRX4XX: srxpfemand crashed after downloading sigpack and left idle for some time at ../sysdeps/unix/sysv/linux/faccessat.c:75</t>
  </si>
  <si>
    <t>1934311-2</t>
  </si>
  <si>
    <t>1934311-3</t>
  </si>
  <si>
    <t>1934315-1</t>
  </si>
  <si>
    <t>25.4X300-EVO: Panther: SRX4XX: Unable to install the sigpack on 25.4X300-202601271431.0-EVO</t>
  </si>
  <si>
    <t>sw-idp-policy</t>
  </si>
  <si>
    <t>FCC</t>
  </si>
  <si>
    <t>jprusty</t>
  </si>
  <si>
    <t>vmaya</t>
  </si>
  <si>
    <t>1934315-2</t>
  </si>
  <si>
    <t>1934315-3</t>
  </si>
  <si>
    <t>1935848-1</t>
  </si>
  <si>
    <t>26.2R1-EVO: Panther: SRX4XX: "clear arp" all does not work as expected in latest daily</t>
  </si>
  <si>
    <t>ppanse</t>
  </si>
  <si>
    <t>1935848-2</t>
  </si>
  <si>
    <t>1935848-3</t>
  </si>
  <si>
    <t>1936810-1</t>
  </si>
  <si>
    <t>25.4X300-EVO: Panther: SRX4XX: Srxpfemand core while running the APPSEC CPS case</t>
  </si>
  <si>
    <t>1936810-2</t>
  </si>
  <si>
    <t>1936810-3</t>
  </si>
  <si>
    <t>1937041-1</t>
  </si>
  <si>
    <t>25.4X300-EVO: Panther: SRX4XX: Enhanced route scaling mode in show security flow status is disabled even after enabling in the configuration</t>
  </si>
  <si>
    <t>1937041-2</t>
  </si>
  <si>
    <t>1937045-1</t>
  </si>
  <si>
    <t>25.4X300-EVO: Panther: SRX4XX: show usp memory segment is not updated with enhanced route scale enabled on the device</t>
  </si>
  <si>
    <t>1937045-2</t>
  </si>
  <si>
    <t>1937124-1</t>
  </si>
  <si>
    <t>25.4X300-EVO: Panther: SRX4XX: With enhanced route scale mode enabled, 35% HTTP APPFW performance improvement at better CPU is observed when compared to the regular mode</t>
  </si>
  <si>
    <t>1937124-2</t>
  </si>
  <si>
    <t>1937537-1</t>
  </si>
  <si>
    <t>25.4X300-EVO: Panther: SRX4XX: rpdagent /junos-proxies/idl/obj-arm/install/usr/include/jnx/rtsock/idl-gen/rtsock_msg_idr_direct.h:2225</t>
  </si>
  <si>
    <t>plondhe</t>
  </si>
  <si>
    <t>scheruathur</t>
  </si>
  <si>
    <t>1937537-2</t>
  </si>
  <si>
    <t>1937949-1</t>
  </si>
  <si>
    <t>26.2R1-EVO: Panther: SRX4XX: ikemd crash @ /src/ui/external/bsd/libbsd/dist/src/strlcpy.c:36</t>
  </si>
  <si>
    <t>need-info</t>
  </si>
  <si>
    <t>deekshabs</t>
  </si>
  <si>
    <t>1937949-2</t>
  </si>
  <si>
    <t>1937950-1</t>
  </si>
  <si>
    <t>26.2R1-EVO: Panther: SRX4XX: named crash @ /src/usp/usr.sbin/named/named_rtsock.c:173</t>
  </si>
  <si>
    <t>cbapat</t>
  </si>
  <si>
    <t>nsyadav</t>
  </si>
  <si>
    <t>1937950-2</t>
  </si>
  <si>
    <t>1938096-1</t>
  </si>
  <si>
    <t>25.4X300-EVO: Panther: SRX4XX: srxpfe core while running APPFW Throughput @ /src/usp/lib/libuspapp-debug/elfinfo.c:421</t>
  </si>
  <si>
    <t>1938096-2</t>
  </si>
  <si>
    <t>1938163-1</t>
  </si>
  <si>
    <t>25.4X300-EVO: Panther: SRX4XX: bps value is missing in show interfaces ge-x/x/x statistics</t>
  </si>
  <si>
    <t>sw-evo-ifstats</t>
  </si>
  <si>
    <t>shubhamr</t>
  </si>
  <si>
    <t>saurabhm</t>
  </si>
  <si>
    <t>1938163-2</t>
  </si>
  <si>
    <t>1938166-1</t>
  </si>
  <si>
    <t>25.4X300-EVO: Panther: SRX4XX: Platform is shown VMWARE while logging into vty</t>
  </si>
  <si>
    <t>sboggarapu</t>
  </si>
  <si>
    <t>1938166-2</t>
  </si>
  <si>
    <t>1938338-1</t>
  </si>
  <si>
    <t>25.4X300-EVO: Panther: SRX4XX: vty command "show nic queue-stats port x" is not working as expected</t>
  </si>
  <si>
    <t>1938338-2</t>
  </si>
  <si>
    <t>1938381-1</t>
  </si>
  <si>
    <t>25.4X300-EVO: Panther: SRX4XX: Warning message to reboot is not seen while moving the device from flow mode to packet mode</t>
  </si>
  <si>
    <t>1938381-2</t>
  </si>
  <si>
    <t>1938384-1</t>
  </si>
  <si>
    <t>25.4X300-EVO: Panther: SRX4XX: Inet forwarding mode shown as "none" in packet mode</t>
  </si>
  <si>
    <t>1938384-2</t>
  </si>
  <si>
    <t>need-setup</t>
  </si>
  <si>
    <t>1938500-1</t>
  </si>
  <si>
    <t>25.4X300-EVO: Panther: SRX4XX: SSL FP CPS: SRXPFE Crashed when testing CPS with 64 bytes</t>
  </si>
  <si>
    <t>sw-jsr-tcpproxy</t>
  </si>
  <si>
    <t>1938500-2</t>
  </si>
  <si>
    <t>1938573-1</t>
  </si>
  <si>
    <t>25.4X300-EVO: Panther: SRX4XX: named crash with ssl cps 64 bytes @ /sysdeps/unix/sysv/linux/arm/libc-do-syscall.S:47</t>
  </si>
  <si>
    <t>sw-srx-evo-ssl</t>
  </si>
  <si>
    <t>1938573-2</t>
  </si>
  <si>
    <t>1940432-1</t>
  </si>
  <si>
    <t>25.4X300-EVO: Panther: SRX4XX: Support for fat-core on SRX4XX Platforms</t>
  </si>
  <si>
    <t>1940432-2</t>
  </si>
  <si>
    <t>1940444-1</t>
  </si>
  <si>
    <t>25.4X300-EVO: Panther: SRX4XX: "show security monitoring" throws syntax error</t>
  </si>
  <si>
    <t>1940444-2</t>
  </si>
  <si>
    <t>1940445-1</t>
  </si>
  <si>
    <t>25.4X300-EVO: Panther: SRX4XX: vty: "show usp ipsec tunnel-distribution" is not updated with the tunnel information</t>
  </si>
  <si>
    <t>basireddygaj</t>
  </si>
  <si>
    <t>1940445-2</t>
  </si>
  <si>
    <t>1940446-1</t>
  </si>
  <si>
    <t>25.4X300-EVO: Panther: SRX4XX: IPSEC Performance - Only one core is utilized on the decryption side</t>
  </si>
  <si>
    <t>1940446-2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</si>
  <si>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</si>
  <si>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</si>
  <si>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</si>
  <si>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</si>
  <si>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</si>
  <si>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</si>
  <si>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</si>
  <si>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1700 CPS /940 Mbps</t>
  </si>
  <si>
    <t>3500 CPS / 1950 Mbps</t>
  </si>
  <si>
    <t>* Need Additional Port Pair</t>
  </si>
  <si>
    <t>1620 CPS /911 Mbps</t>
  </si>
  <si>
    <t>875 CPS / 490 Mbps</t>
  </si>
  <si>
    <t>280 CPS / 160 Mbps</t>
  </si>
  <si>
    <t>1570 CPS / 894 Mbps</t>
  </si>
  <si>
    <t>556 CPS / 318 Mbps</t>
  </si>
  <si>
    <t>1596 CPS /903 Mbps</t>
  </si>
  <si>
    <t>1579 CPS / 893 Mbps</t>
  </si>
  <si>
    <t>381 CPS / 211 Mbps</t>
  </si>
  <si>
    <t>796 CPS / 440 Mbps</t>
  </si>
  <si>
    <t>448 CPS / 237 Mbps</t>
  </si>
  <si>
    <t>428 CPS / 228 Mbps</t>
  </si>
  <si>
    <t>307 CPS / 165 Mbps</t>
  </si>
  <si>
    <t>444 CPS / 234 Mbps</t>
  </si>
  <si>
    <t xml:space="preserve">HTTPS Throughput via CPS Method (Payload: 64KB) </t>
  </si>
  <si>
    <t>420 CPS / 240 Mbps</t>
  </si>
  <si>
    <t>190 CPS / 110 Mbps</t>
  </si>
  <si>
    <t>125 CPS / 66 Mbps</t>
  </si>
  <si>
    <t>165 CPS / 91 Mbps</t>
  </si>
  <si>
    <t>55 CPS / 30 Mbps</t>
  </si>
  <si>
    <t>141 CPS / 85 Mbps</t>
  </si>
  <si>
    <t>164 CPS / 91 Mbps</t>
  </si>
  <si>
    <t>149 CPS / 86 Mbps</t>
  </si>
  <si>
    <t>123 CPS / 74 Mbps</t>
  </si>
  <si>
    <t>119 CPS / 71 Mbps</t>
  </si>
  <si>
    <t>HTTP Throughput via TPS Method (Payload: 44KB)</t>
  </si>
  <si>
    <t>Throughput
TPS/MBPS</t>
  </si>
  <si>
    <t>*100 Sessions</t>
  </si>
  <si>
    <t>650 TPS / 256 Mbps</t>
  </si>
  <si>
    <t>CPS Performance (Payload: 64B)</t>
  </si>
  <si>
    <t xml:space="preserve">Firewall TCP CPS </t>
  </si>
  <si>
    <t xml:space="preserve">IPv6 Firewall TCP CPS </t>
  </si>
  <si>
    <t>UTM EWF-100% cache</t>
  </si>
  <si>
    <t>UTM- SAV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</si>
  <si>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</si>
  <si>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</si>
  <si>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</si>
  <si>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</si>
  <si>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</si>
  <si>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</si>
  <si>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</si>
  <si>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</si>
  <si>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</si>
  <si>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</si>
  <si>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</si>
  <si>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</si>
  <si>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</si>
  <si>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</si>
  <si>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</si>
  <si>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</si>
  <si>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</si>
  <si>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</si>
  <si>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</si>
  <si>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</si>
  <si>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</si>
  <si>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</si>
  <si>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</si>
  <si>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</si>
  <si>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</si>
  <si>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</si>
  <si>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</si>
  <si>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</si>
  <si>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</si>
  <si>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</si>
  <si>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</si>
  <si>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</si>
  <si>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PR 1954277 </t>
  </si>
  <si>
    <t>IPSec(site-2-site) UDP throughput with IKEv2,PSK,AES-GCM256- Packet size IMIX(ratio 64:7,570:4,1400:1)</t>
  </si>
  <si>
    <t>IPSec(site-2-site) UDP throughput with IKEv2,PSK,AES-GCM256- Packet size 512Bytes</t>
  </si>
  <si>
    <t>IPSec(site-2-site) UDP throughput with IKEv2,PSK,AES-GCM256- Packet size 1400bytes</t>
  </si>
  <si>
    <t>IPSec(site-2-site)  single tunnel UDP throughput with IKEv2,PSK,AES-GCM256- Packet size IMIX</t>
  </si>
  <si>
    <t>IPSec(site-2-site) IKEv2,PSK,AES-GCM256 UDP-50% Latency- Packet size 64bytes</t>
  </si>
  <si>
    <t>IPSec(site-2-site) UDP throughput with IKEv2,PKI2K,AES256 - Packet size IMIX(64:7,570:4,1400:1)</t>
  </si>
  <si>
    <t>Route based VPN Tunnel setup rate(TPS rate)- PSK, IKE Encryption: AES256, IKE Authentication: SHA256, DH Group: DH14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</si>
  <si>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</si>
  <si>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</si>
  <si>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</si>
  <si>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</si>
  <si>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</si>
  <si>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</si>
  <si>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</si>
  <si>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</si>
  <si>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</si>
  <si>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</si>
  <si>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</si>
  <si>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</si>
  <si>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</si>
  <si>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</si>
  <si>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</si>
  <si>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Juniper Secure Connect Scale</t>
  </si>
  <si>
    <t>Max GRE supported Tunnels</t>
  </si>
  <si>
    <t>Max supported GTP Tunnels</t>
  </si>
  <si>
    <t>Max User Auth Table</t>
  </si>
  <si>
    <t>Max supported DHCP Servers</t>
  </si>
  <si>
    <t>Max RPM probes</t>
  </si>
  <si>
    <t>BGP- Total RIB Routes/Size</t>
  </si>
  <si>
    <t>BGP- Total FIB Routes/Size</t>
  </si>
  <si>
    <t>BGP: Peers</t>
  </si>
  <si>
    <t>OSPF:Number of Routes</t>
  </si>
  <si>
    <t>OSPF:Number of Adjacencies</t>
  </si>
  <si>
    <t>Max FW HTTP concurrent Session capacity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</si>
  <si>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</si>
  <si>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</si>
  <si>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</si>
  <si>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</si>
  <si>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</si>
  <si>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</si>
  <si>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</si>
  <si>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</si>
  <si>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</si>
  <si>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Measure device commit time with baseline config(seconds)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</si>
  <si>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</si>
  <si>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</si>
  <si>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</si>
  <si>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</si>
  <si>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</si>
  <si>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</si>
  <si>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1085 CPS / 622 Mbps</t>
  </si>
  <si>
    <t>380 CPS / 215 Mbps</t>
  </si>
  <si>
    <t>1700 CPS / 940 Mbps</t>
  </si>
  <si>
    <t>660 CPS / 380 Mbps</t>
  </si>
  <si>
    <t>1700  CPS / 940 Mbps</t>
  </si>
  <si>
    <t>875 CPS / 500 Mbps</t>
  </si>
  <si>
    <t>540 CPS / 310 Mbps</t>
  </si>
  <si>
    <t>530 CPS / 300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</si>
  <si>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</si>
  <si>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</si>
  <si>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</si>
  <si>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</si>
  <si>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</si>
  <si>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</si>
  <si>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</si>
  <si>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</si>
  <si>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</si>
  <si>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</si>
  <si>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</si>
  <si>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CPS</t>
  </si>
  <si>
    <t>Sessions</t>
  </si>
  <si>
    <t>744.1 KPPS/500 Mbps</t>
  </si>
  <si>
    <t>735.6 KPPS/2195 Mbps</t>
  </si>
  <si>
    <t>634.9 KPPS/7812 Mbps</t>
  </si>
  <si>
    <t>731.6 KPPS/2183 Mbps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</si>
  <si>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</si>
  <si>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</si>
  <si>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</si>
  <si>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</si>
  <si>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</si>
  <si>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</si>
  <si>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</si>
  <si>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</si>
  <si>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400K</t>
  </si>
  <si>
    <t>200K</t>
  </si>
  <si>
    <t>Max UTM- EWF Sessions capacity</t>
  </si>
  <si>
    <t>Max UTM- NG-WF Sessions capacity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</si>
  <si>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</si>
  <si>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</si>
  <si>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1000 CPS, 570 Mbps</t>
  </si>
  <si>
    <t>CPU:82, Global data shm: 84</t>
  </si>
  <si>
    <t>350 CPS, 200 Mbps</t>
  </si>
  <si>
    <t>CPU: 82, Global data shm: 84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</si>
  <si>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</si>
  <si>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</si>
  <si>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</si>
  <si>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</si>
  <si>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</si>
  <si>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</si>
  <si>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</si>
  <si>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</si>
  <si>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</si>
  <si>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</si>
  <si>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</si>
  <si>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</si>
  <si>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</si>
  <si>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</si>
  <si>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</si>
  <si>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</si>
  <si>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</si>
  <si>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</si>
  <si>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</si>
  <si>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</si>
  <si>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</si>
  <si>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</si>
  <si>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</si>
  <si>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</si>
  <si>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</si>
  <si>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</si>
  <si>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</si>
  <si>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</si>
  <si>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</si>
  <si>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</si>
  <si>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</si>
  <si>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</si>
  <si>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</si>
  <si>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</si>
  <si>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</si>
  <si>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</si>
  <si>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</si>
  <si>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</si>
  <si>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</si>
  <si>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</si>
  <si>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</si>
  <si>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</si>
  <si>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RE Memory</t>
  </si>
  <si>
    <t>300K</t>
  </si>
  <si>
    <t>150K</t>
  </si>
  <si>
    <t>1800 CPS / 1000 Mbps</t>
  </si>
  <si>
    <t>535 CPS / 305 Mbps</t>
  </si>
  <si>
    <t>340 CPS / 190 Mbps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</si>
  <si>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</si>
  <si>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</si>
  <si>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2400 CPS</t>
  </si>
  <si>
    <t>Global data shm / Comments</t>
  </si>
  <si>
    <t>1650 CPS / 920 Mbps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</si>
  <si>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</si>
  <si>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</si>
  <si>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3000 CPS</t>
  </si>
  <si>
    <t>2000 CPS / 1350 Mbps</t>
  </si>
  <si>
    <t>240 CPS / 140 Mbps</t>
  </si>
  <si>
    <t>240 CPS / 139 Mbps</t>
  </si>
  <si>
    <t>1920 CPS/ 1025 Mbos</t>
  </si>
  <si>
    <t>800 TPS / 315 Mbps</t>
  </si>
  <si>
    <t>10600 TPS / 3995 Mbps</t>
  </si>
  <si>
    <t>96K</t>
  </si>
  <si>
    <t>80K</t>
  </si>
  <si>
    <t>AppControl</t>
  </si>
  <si>
    <t>AppControl (ASC enabled)</t>
  </si>
  <si>
    <t xml:space="preserve">AppControl + AppQOS with ASC enabled </t>
  </si>
  <si>
    <t xml:space="preserve">AppControl + IDP-Recommended policy </t>
  </si>
  <si>
    <t>AppControl + IDP-Enterprise Rec policy</t>
  </si>
  <si>
    <t xml:space="preserve">AppControl + SecIntel </t>
  </si>
  <si>
    <t>AppControl + SkyATP -Block mode</t>
  </si>
  <si>
    <t xml:space="preserve">AppControl+ UTM EWF(100% cache) </t>
  </si>
  <si>
    <t xml:space="preserve">AppControl+ UTM NG-WF(100% cache) </t>
  </si>
  <si>
    <t>AppControl + UTM SAV</t>
  </si>
  <si>
    <t>AppControl + SecIntel+ IDP-Rec + UTM EWF</t>
  </si>
  <si>
    <t>AppControl + SecIntel+ IDP-Rec + SkyATP Block</t>
  </si>
  <si>
    <t xml:space="preserve">AppControl + SecIntel+ IDP-Rec + UTM EWF + SkyATP Block </t>
  </si>
  <si>
    <t>AppControl + SecIntel+ IDP-Rec + UTM EWF + UTM SAV</t>
  </si>
  <si>
    <t xml:space="preserve">AppControl + SecIntel+ IDP-Rec + SkyATP Block + DNS </t>
  </si>
  <si>
    <t>AppControl + TCP Proxy</t>
  </si>
  <si>
    <t>AppControl + SSL(TLS1.2)</t>
  </si>
  <si>
    <t>AppControl + SSL(TLS1.3)</t>
  </si>
  <si>
    <t xml:space="preserve">AppControl + SSL+ IDP-Recommended policy </t>
  </si>
  <si>
    <t xml:space="preserve">AppControl + SSL+ IDP-Enterprise Rec policy </t>
  </si>
  <si>
    <t>AppControl + SSL + SkyATP Block</t>
  </si>
  <si>
    <t xml:space="preserve">AppControl + SSL + SecIntel + IDP-Rec </t>
  </si>
  <si>
    <t xml:space="preserve">AppControl + SSL + SecIntel + IDP Rec + UTM EWF </t>
  </si>
  <si>
    <t xml:space="preserve">AppControl + SSL + SecIntel + IDP Rec + SkyATP Block </t>
  </si>
  <si>
    <t>AppControl + SSL + SecIntel + IDP Rec + UTM EWF + SkyATP Block</t>
  </si>
  <si>
    <t>Firewall + AppControl(Unified policy)</t>
  </si>
  <si>
    <t>AppControl + IDP-Recommended policy template</t>
  </si>
  <si>
    <t>AppControl + IDP-Rec + UTM EWF(100% cache)</t>
  </si>
  <si>
    <t xml:space="preserve">AppControl with ASC enabled CPS </t>
  </si>
  <si>
    <t xml:space="preserve">AppControl CPS </t>
  </si>
  <si>
    <t xml:space="preserve">AppControl + TCPProxy </t>
  </si>
  <si>
    <t xml:space="preserve">AppControl + SSL(TLS1.2) </t>
  </si>
  <si>
    <t xml:space="preserve">AppControl + SSL(TLS1.3) </t>
  </si>
  <si>
    <t>Max AppControl Sessions(unified policy)</t>
  </si>
  <si>
    <t>AppControl - HTTP Throughput (64KB)</t>
  </si>
  <si>
    <t>AppControl - HTTP  CPS (64B)</t>
  </si>
  <si>
    <t>AppControl + SSL(TLS1.2) - HTTPS Throughput (64KB)</t>
  </si>
  <si>
    <t>Firewall+ AppControl(unified policy) with ASC enabled</t>
  </si>
  <si>
    <t>Firewall+ AppControl(unified policy)</t>
  </si>
  <si>
    <t xml:space="preserve">Firewall+ IPv6 AppControl(Unified policy) </t>
  </si>
  <si>
    <t>AppControl + UTM Avira-Light mode</t>
  </si>
  <si>
    <t xml:space="preserve">AppControl + UTM Avira- Heavy mode </t>
  </si>
  <si>
    <t>AppControl + AAMW -Block mode</t>
  </si>
  <si>
    <t>AppControl + SecIntel+ IDP-Rec + AAMW Block</t>
  </si>
  <si>
    <t xml:space="preserve">AppControl + SecIntel+ IDP-Rec + UTM EWF + AAMW Block </t>
  </si>
  <si>
    <t xml:space="preserve">AppControl + SecIntel+ IDP-Rec + AAMW Block + DNS </t>
  </si>
  <si>
    <t>AppControl + SSL + AAMW Block</t>
  </si>
  <si>
    <t xml:space="preserve">AppControl + SSL + SecIntel + IDP Rec + AAMW Block </t>
  </si>
  <si>
    <t>AppControl + SSL + SecIntel + IDP Rec + UTM EWF + AAMW Block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</si>
  <si>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</si>
  <si>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</si>
  <si>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</si>
  <si>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AppControl + SSL(TLS1.2) - HTTPS Throughput (64B)</t>
  </si>
  <si>
    <t>300 CPS</t>
  </si>
  <si>
    <t>There are spikes seen, expected is 370 CPS. Ravi is checking if dpdk upgrade has caused any issues and it is applicable to all ssl cases.</t>
  </si>
  <si>
    <t>320 KPPS /954 Mbps</t>
  </si>
  <si>
    <t>340 KPPS / 228 Mbps</t>
  </si>
  <si>
    <t>310 KPPS / 1320 Mbps</t>
  </si>
  <si>
    <t>210 KPPS / 626 Mbps</t>
  </si>
  <si>
    <t>*32 Sessions ( 16Tunnels) - PR 1954277 </t>
  </si>
  <si>
    <t>*32 Sessions ( 16Tunnels) -PR 1954277 </t>
  </si>
  <si>
    <t>*1 session (1 Tunnel) - PR 1954277 </t>
  </si>
  <si>
    <t>315 KPPS / 940 Mbps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</si>
</sst>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7" borderId="0" applyNumberFormat="0" applyBorder="0" applyAlignment="0" applyProtection="0"/>
  </cellStyleXfs>
  <cellXfs count="110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0" fillId="2" borderId="6" xfId="0" applyFill="1" applyBorder="1" applyAlignment="1">
      <alignment vertical="center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/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0" xfId="0" applyFont="1"/>
    <xf numFmtId="0" fontId="9" fillId="6" borderId="0" xfId="0" applyFont="1" applyFill="1"/>
    <xf numFmtId="0" fontId="10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2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left" vertical="top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/>
    </xf>
    <xf numFmtId="0" fontId="16" fillId="7" borderId="1" xfId="2" applyFont="1" applyBorder="1" applyAlignment="1">
      <alignment horizontal="center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left" vertical="top" wrapText="1"/>
    </xf>
    <xf numFmtId="0" fontId="19" fillId="4" borderId="17" xfId="0" applyFont="1" applyFill="1" applyBorder="1" applyAlignment="1">
      <alignment horizontal="center" vertical="center" wrapText="1"/>
    </xf>
    <xf numFmtId="0" fontId="19" fillId="4" borderId="10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/>
    </xf>
    <xf numFmtId="0" fontId="20" fillId="0" borderId="0" xfId="0" applyFont="1"/>
    <xf numFmtId="0" fontId="19" fillId="3" borderId="6" xfId="0" applyFont="1" applyFill="1" applyBorder="1"/>
    <xf numFmtId="0" fontId="19" fillId="3" borderId="6" xfId="0" applyFont="1" applyFill="1" applyBorder="1" applyAlignment="1">
      <alignment horizontal="center" vertical="center" wrapText="1"/>
    </xf>
    <xf numFmtId="0" fontId="19" fillId="3" borderId="6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center" wrapText="1"/>
    </xf>
    <xf numFmtId="0" fontId="20" fillId="0" borderId="2" xfId="0" applyFont="1" applyBorder="1" applyAlignment="1">
      <alignment horizontal="center"/>
    </xf>
    <xf numFmtId="0" fontId="20" fillId="2" borderId="6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1" fillId="2" borderId="1" xfId="0" applyFont="1" applyFill="1" applyBorder="1" applyAlignment="1">
      <alignment vertical="top" wrapText="1"/>
    </xf>
    <xf numFmtId="0" fontId="20" fillId="2" borderId="10" xfId="0" applyFont="1" applyFill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2" borderId="12" xfId="0" applyFont="1" applyFill="1" applyBorder="1" applyAlignment="1">
      <alignment horizontal="center"/>
    </xf>
    <xf numFmtId="0" fontId="21" fillId="2" borderId="1" xfId="0" applyFont="1" applyFill="1" applyBorder="1" applyAlignment="1">
      <alignment vertical="center" wrapText="1"/>
    </xf>
    <xf numFmtId="0" fontId="22" fillId="0" borderId="6" xfId="0" applyFont="1" applyBorder="1" applyAlignment="1">
      <alignment horizontal="center"/>
    </xf>
    <xf numFmtId="0" fontId="24" fillId="4" borderId="6" xfId="0" applyFont="1" applyFill="1" applyBorder="1" applyAlignment="1">
      <alignment horizontal="left" vertical="top" wrapText="1"/>
    </xf>
    <xf numFmtId="0" fontId="20" fillId="2" borderId="2" xfId="0" applyFont="1" applyFill="1" applyBorder="1" applyAlignment="1">
      <alignment vertical="center" wrapText="1"/>
    </xf>
    <xf numFmtId="0" fontId="20" fillId="0" borderId="3" xfId="0" applyFont="1" applyBorder="1" applyAlignment="1">
      <alignment horizontal="center"/>
    </xf>
    <xf numFmtId="0" fontId="20" fillId="2" borderId="13" xfId="0" applyFont="1" applyFill="1" applyBorder="1" applyAlignment="1">
      <alignment horizontal="center"/>
    </xf>
    <xf numFmtId="0" fontId="20" fillId="0" borderId="6" xfId="0" applyFont="1" applyBorder="1" applyAlignment="1">
      <alignment horizontal="center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H94"/>
  <sheetViews>
    <sheetView workbookViewId="0">
      <selection activeCell="A18" sqref="A1:F108"/>
    </sheetView>
  </sheetViews>
  <sheetFormatPr baseColWidth="10" defaultColWidth="10.83203125" defaultRowHeight="19" x14ac:dyDescent="0.25"/>
  <cols>
    <col min="1" max="1" width="15.6640625" style="68" customWidth="1"/>
    <col min="2" max="2" width="179.5" style="68" bestFit="1" customWidth="1"/>
    <col min="3" max="3" width="19.1640625" style="68" bestFit="1" customWidth="1"/>
    <col min="4" max="16384" width="10.83203125" style="68"/>
  </cols>
  <sheetData>
    <row r="1" spans="1:8" x14ac:dyDescent="0.25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 hidden="1" x14ac:dyDescent="0.25">
      <c r="A2" s="68" t="s">
        <v>8</v>
      </c>
      <c r="B2" s="68" t="s">
        <v>9</v>
      </c>
      <c r="C2" s="68" t="s">
        <v>10</v>
      </c>
      <c r="E2" s="68" t="s">
        <v>11</v>
      </c>
      <c r="F2" s="68" t="s">
        <v>12</v>
      </c>
      <c r="G2" s="68" t="s">
        <v>12</v>
      </c>
      <c r="H2" s="68" t="s">
        <v>13</v>
      </c>
    </row>
    <row r="3" spans="1:8" x14ac:dyDescent="0.25">
      <c r="A3" s="68" t="s">
        <v>14</v>
      </c>
      <c r="B3" s="68" t="s">
        <v>15</v>
      </c>
      <c r="C3" s="68" t="s">
        <v>16</v>
      </c>
      <c r="E3" s="68" t="s">
        <v>17</v>
      </c>
      <c r="F3" s="68" t="s">
        <v>18</v>
      </c>
      <c r="G3" s="68" t="s">
        <v>19</v>
      </c>
      <c r="H3" s="68" t="s">
        <v>20</v>
      </c>
    </row>
    <row r="4" spans="1:8" hidden="1" x14ac:dyDescent="0.25">
      <c r="A4" s="68" t="s">
        <v>21</v>
      </c>
      <c r="B4" s="68" t="s">
        <v>22</v>
      </c>
      <c r="C4" s="68" t="s">
        <v>10</v>
      </c>
      <c r="E4" s="68" t="s">
        <v>11</v>
      </c>
      <c r="F4" s="68" t="s">
        <v>23</v>
      </c>
      <c r="G4" s="68" t="s">
        <v>23</v>
      </c>
      <c r="H4" s="68" t="s">
        <v>24</v>
      </c>
    </row>
    <row r="5" spans="1:8" hidden="1" x14ac:dyDescent="0.25">
      <c r="A5" s="68" t="s">
        <v>25</v>
      </c>
      <c r="B5" s="68" t="s">
        <v>22</v>
      </c>
      <c r="C5" s="68" t="s">
        <v>10</v>
      </c>
      <c r="E5" s="68" t="s">
        <v>11</v>
      </c>
      <c r="F5" s="68" t="s">
        <v>18</v>
      </c>
      <c r="G5" s="68" t="s">
        <v>23</v>
      </c>
      <c r="H5" s="68" t="s">
        <v>24</v>
      </c>
    </row>
    <row r="6" spans="1:8" hidden="1" x14ac:dyDescent="0.25">
      <c r="A6" s="68" t="s">
        <v>26</v>
      </c>
      <c r="B6" s="68" t="s">
        <v>22</v>
      </c>
      <c r="C6" s="68" t="s">
        <v>10</v>
      </c>
      <c r="E6" s="68" t="s">
        <v>27</v>
      </c>
      <c r="F6" s="68" t="s">
        <v>18</v>
      </c>
      <c r="G6" s="68" t="s">
        <v>23</v>
      </c>
      <c r="H6" s="68" t="s">
        <v>24</v>
      </c>
    </row>
    <row r="7" spans="1:8" hidden="1" x14ac:dyDescent="0.25">
      <c r="A7" s="68" t="s">
        <v>28</v>
      </c>
      <c r="B7" s="68" t="s">
        <v>29</v>
      </c>
      <c r="C7" s="68" t="s">
        <v>10</v>
      </c>
      <c r="D7" s="68" t="s">
        <v>30</v>
      </c>
      <c r="E7" s="68" t="s">
        <v>11</v>
      </c>
      <c r="F7" s="68" t="s">
        <v>31</v>
      </c>
      <c r="G7" s="68" t="s">
        <v>31</v>
      </c>
      <c r="H7" s="68" t="s">
        <v>20</v>
      </c>
    </row>
    <row r="8" spans="1:8" hidden="1" x14ac:dyDescent="0.25">
      <c r="A8" s="68" t="s">
        <v>32</v>
      </c>
      <c r="B8" s="68" t="s">
        <v>29</v>
      </c>
      <c r="C8" s="68" t="s">
        <v>10</v>
      </c>
      <c r="D8" s="68" t="s">
        <v>33</v>
      </c>
      <c r="E8" s="68" t="s">
        <v>11</v>
      </c>
      <c r="F8" s="68" t="s">
        <v>18</v>
      </c>
      <c r="G8" s="68" t="s">
        <v>31</v>
      </c>
      <c r="H8" s="68" t="s">
        <v>20</v>
      </c>
    </row>
    <row r="9" spans="1:8" hidden="1" x14ac:dyDescent="0.25">
      <c r="A9" s="68" t="s">
        <v>34</v>
      </c>
      <c r="B9" s="68" t="s">
        <v>29</v>
      </c>
      <c r="C9" s="68" t="s">
        <v>10</v>
      </c>
      <c r="D9" s="68" t="s">
        <v>35</v>
      </c>
      <c r="E9" s="68" t="s">
        <v>11</v>
      </c>
      <c r="F9" s="68" t="s">
        <v>31</v>
      </c>
      <c r="G9" s="68" t="s">
        <v>31</v>
      </c>
      <c r="H9" s="68" t="s">
        <v>20</v>
      </c>
    </row>
    <row r="10" spans="1:8" hidden="1" x14ac:dyDescent="0.25">
      <c r="A10" s="68" t="s">
        <v>36</v>
      </c>
      <c r="B10" s="68" t="s">
        <v>37</v>
      </c>
      <c r="C10" s="68" t="s">
        <v>16</v>
      </c>
      <c r="E10" s="68" t="s">
        <v>11</v>
      </c>
      <c r="F10" s="68" t="s">
        <v>38</v>
      </c>
      <c r="G10" s="68" t="s">
        <v>38</v>
      </c>
      <c r="H10" s="68" t="s">
        <v>39</v>
      </c>
    </row>
    <row r="11" spans="1:8" hidden="1" x14ac:dyDescent="0.25">
      <c r="A11" s="68" t="s">
        <v>40</v>
      </c>
      <c r="B11" s="68" t="s">
        <v>41</v>
      </c>
      <c r="C11" s="68" t="s">
        <v>10</v>
      </c>
      <c r="E11" s="68" t="s">
        <v>11</v>
      </c>
      <c r="F11" s="68" t="s">
        <v>18</v>
      </c>
      <c r="G11" s="68" t="s">
        <v>42</v>
      </c>
      <c r="H11" s="68" t="s">
        <v>43</v>
      </c>
    </row>
    <row r="12" spans="1:8" x14ac:dyDescent="0.25">
      <c r="A12" s="68" t="s">
        <v>44</v>
      </c>
      <c r="B12" s="68" t="s">
        <v>45</v>
      </c>
      <c r="C12" s="68" t="s">
        <v>10</v>
      </c>
      <c r="E12" s="68" t="s">
        <v>46</v>
      </c>
      <c r="F12" s="68" t="s">
        <v>24</v>
      </c>
      <c r="G12" s="68" t="s">
        <v>24</v>
      </c>
      <c r="H12" s="68" t="s">
        <v>47</v>
      </c>
    </row>
    <row r="13" spans="1:8" hidden="1" x14ac:dyDescent="0.25">
      <c r="A13" s="68" t="s">
        <v>48</v>
      </c>
      <c r="B13" s="68" t="s">
        <v>45</v>
      </c>
      <c r="C13" s="68" t="s">
        <v>10</v>
      </c>
      <c r="E13" s="68" t="s">
        <v>46</v>
      </c>
      <c r="F13" s="68" t="s">
        <v>24</v>
      </c>
      <c r="G13" s="68" t="s">
        <v>24</v>
      </c>
      <c r="H13" s="68" t="s">
        <v>47</v>
      </c>
    </row>
    <row r="14" spans="1:8" hidden="1" x14ac:dyDescent="0.25">
      <c r="A14" s="68" t="s">
        <v>49</v>
      </c>
      <c r="B14" s="68" t="s">
        <v>45</v>
      </c>
      <c r="C14" s="68" t="s">
        <v>10</v>
      </c>
      <c r="E14" s="68" t="s">
        <v>11</v>
      </c>
      <c r="F14" s="68" t="s">
        <v>18</v>
      </c>
      <c r="G14" s="68" t="s">
        <v>24</v>
      </c>
      <c r="H14" s="68" t="s">
        <v>47</v>
      </c>
    </row>
    <row r="15" spans="1:8" hidden="1" x14ac:dyDescent="0.25">
      <c r="A15" s="68" t="s">
        <v>50</v>
      </c>
      <c r="B15" s="68" t="s">
        <v>45</v>
      </c>
      <c r="C15" s="68" t="s">
        <v>10</v>
      </c>
      <c r="E15" s="68" t="s">
        <v>11</v>
      </c>
      <c r="F15" s="68" t="s">
        <v>18</v>
      </c>
      <c r="G15" s="68" t="s">
        <v>24</v>
      </c>
      <c r="H15" s="68" t="s">
        <v>47</v>
      </c>
    </row>
    <row r="16" spans="1:8" hidden="1" x14ac:dyDescent="0.25">
      <c r="A16" s="68" t="s">
        <v>51</v>
      </c>
      <c r="B16" s="68" t="s">
        <v>52</v>
      </c>
      <c r="C16" s="68" t="s">
        <v>10</v>
      </c>
      <c r="E16" s="68" t="s">
        <v>11</v>
      </c>
      <c r="F16" s="68" t="s">
        <v>53</v>
      </c>
      <c r="G16" s="68" t="s">
        <v>53</v>
      </c>
      <c r="H16" s="68" t="s">
        <v>54</v>
      </c>
    </row>
    <row r="17" spans="1:8" hidden="1" x14ac:dyDescent="0.25">
      <c r="A17" s="68" t="s">
        <v>55</v>
      </c>
      <c r="B17" s="68" t="s">
        <v>52</v>
      </c>
      <c r="C17" s="68" t="s">
        <v>10</v>
      </c>
      <c r="E17" s="68" t="s">
        <v>11</v>
      </c>
      <c r="F17" s="68" t="s">
        <v>53</v>
      </c>
      <c r="G17" s="68" t="s">
        <v>53</v>
      </c>
      <c r="H17" s="68" t="s">
        <v>54</v>
      </c>
    </row>
    <row r="18" spans="1:8" hidden="1" x14ac:dyDescent="0.25">
      <c r="A18" s="68" t="s">
        <v>56</v>
      </c>
      <c r="B18" s="68" t="s">
        <v>52</v>
      </c>
      <c r="C18" s="68" t="s">
        <v>10</v>
      </c>
      <c r="E18" s="68" t="s">
        <v>11</v>
      </c>
      <c r="F18" s="68" t="s">
        <v>53</v>
      </c>
      <c r="G18" s="68" t="s">
        <v>53</v>
      </c>
      <c r="H18" s="68" t="s">
        <v>54</v>
      </c>
    </row>
    <row r="19" spans="1:8" hidden="1" x14ac:dyDescent="0.25">
      <c r="A19" s="68" t="s">
        <v>57</v>
      </c>
      <c r="B19" s="68" t="s">
        <v>52</v>
      </c>
      <c r="C19" s="68" t="s">
        <v>10</v>
      </c>
      <c r="E19" s="68" t="s">
        <v>11</v>
      </c>
      <c r="F19" s="68" t="s">
        <v>53</v>
      </c>
      <c r="G19" s="68" t="s">
        <v>53</v>
      </c>
      <c r="H19" s="68" t="s">
        <v>54</v>
      </c>
    </row>
    <row r="20" spans="1:8" x14ac:dyDescent="0.25">
      <c r="A20" s="68" t="s">
        <v>58</v>
      </c>
      <c r="B20" s="68" t="s">
        <v>59</v>
      </c>
      <c r="C20" s="68" t="s">
        <v>60</v>
      </c>
      <c r="E20" s="68" t="s">
        <v>46</v>
      </c>
      <c r="F20" s="68" t="s">
        <v>61</v>
      </c>
      <c r="G20" s="68" t="s">
        <v>61</v>
      </c>
      <c r="H20" s="68" t="s">
        <v>54</v>
      </c>
    </row>
    <row r="21" spans="1:8" hidden="1" x14ac:dyDescent="0.25">
      <c r="A21" s="68" t="s">
        <v>62</v>
      </c>
      <c r="B21" s="68" t="s">
        <v>59</v>
      </c>
      <c r="C21" s="68" t="s">
        <v>60</v>
      </c>
      <c r="E21" s="68" t="s">
        <v>11</v>
      </c>
      <c r="F21" s="68" t="s">
        <v>18</v>
      </c>
      <c r="G21" s="68" t="s">
        <v>61</v>
      </c>
      <c r="H21" s="68" t="s">
        <v>54</v>
      </c>
    </row>
    <row r="22" spans="1:8" hidden="1" x14ac:dyDescent="0.25">
      <c r="A22" s="68" t="s">
        <v>63</v>
      </c>
      <c r="B22" s="68" t="s">
        <v>59</v>
      </c>
      <c r="C22" s="68" t="s">
        <v>60</v>
      </c>
      <c r="E22" s="68" t="s">
        <v>46</v>
      </c>
      <c r="F22" s="68" t="s">
        <v>61</v>
      </c>
      <c r="G22" s="68" t="s">
        <v>61</v>
      </c>
      <c r="H22" s="68" t="s">
        <v>54</v>
      </c>
    </row>
    <row r="23" spans="1:8" x14ac:dyDescent="0.25">
      <c r="A23" s="68" t="s">
        <v>64</v>
      </c>
      <c r="B23" s="68" t="s">
        <v>65</v>
      </c>
      <c r="C23" s="68" t="s">
        <v>10</v>
      </c>
      <c r="E23" s="68" t="s">
        <v>27</v>
      </c>
      <c r="F23" s="68" t="s">
        <v>18</v>
      </c>
      <c r="G23" s="68" t="s">
        <v>31</v>
      </c>
      <c r="H23" s="68" t="s">
        <v>20</v>
      </c>
    </row>
    <row r="24" spans="1:8" hidden="1" x14ac:dyDescent="0.25">
      <c r="A24" s="68" t="s">
        <v>66</v>
      </c>
      <c r="B24" s="68" t="s">
        <v>65</v>
      </c>
      <c r="C24" s="68" t="s">
        <v>10</v>
      </c>
      <c r="E24" s="68" t="s">
        <v>27</v>
      </c>
      <c r="F24" s="68" t="s">
        <v>18</v>
      </c>
      <c r="G24" s="68" t="s">
        <v>31</v>
      </c>
      <c r="H24" s="68" t="s">
        <v>20</v>
      </c>
    </row>
    <row r="25" spans="1:8" hidden="1" x14ac:dyDescent="0.25">
      <c r="A25" s="68" t="s">
        <v>67</v>
      </c>
      <c r="B25" s="68" t="s">
        <v>65</v>
      </c>
      <c r="C25" s="68" t="s">
        <v>10</v>
      </c>
      <c r="E25" s="68" t="s">
        <v>27</v>
      </c>
      <c r="F25" s="68" t="s">
        <v>18</v>
      </c>
      <c r="G25" s="68" t="s">
        <v>31</v>
      </c>
      <c r="H25" s="68" t="s">
        <v>20</v>
      </c>
    </row>
    <row r="26" spans="1:8" x14ac:dyDescent="0.25">
      <c r="A26" s="68" t="s">
        <v>68</v>
      </c>
      <c r="B26" s="68" t="s">
        <v>69</v>
      </c>
      <c r="C26" s="68" t="s">
        <v>60</v>
      </c>
      <c r="E26" s="68" t="s">
        <v>27</v>
      </c>
      <c r="F26" s="68" t="s">
        <v>18</v>
      </c>
      <c r="G26" s="68" t="s">
        <v>70</v>
      </c>
      <c r="H26" s="68" t="s">
        <v>54</v>
      </c>
    </row>
    <row r="27" spans="1:8" hidden="1" x14ac:dyDescent="0.25">
      <c r="A27" s="68" t="s">
        <v>71</v>
      </c>
      <c r="B27" s="68" t="s">
        <v>69</v>
      </c>
      <c r="C27" s="68" t="s">
        <v>60</v>
      </c>
      <c r="E27" s="68" t="s">
        <v>27</v>
      </c>
      <c r="F27" s="68" t="s">
        <v>18</v>
      </c>
      <c r="G27" s="68" t="s">
        <v>70</v>
      </c>
      <c r="H27" s="68" t="s">
        <v>54</v>
      </c>
    </row>
    <row r="28" spans="1:8" hidden="1" x14ac:dyDescent="0.25">
      <c r="A28" s="68" t="s">
        <v>72</v>
      </c>
      <c r="B28" s="68" t="s">
        <v>69</v>
      </c>
      <c r="C28" s="68" t="s">
        <v>60</v>
      </c>
      <c r="E28" s="68" t="s">
        <v>11</v>
      </c>
      <c r="F28" s="68" t="s">
        <v>70</v>
      </c>
      <c r="G28" s="68" t="s">
        <v>70</v>
      </c>
      <c r="H28" s="68" t="s">
        <v>54</v>
      </c>
    </row>
    <row r="29" spans="1:8" x14ac:dyDescent="0.25">
      <c r="A29" s="68" t="s">
        <v>73</v>
      </c>
      <c r="B29" s="68" t="s">
        <v>74</v>
      </c>
      <c r="C29" s="68" t="s">
        <v>10</v>
      </c>
      <c r="E29" s="68" t="s">
        <v>27</v>
      </c>
      <c r="F29" s="68" t="s">
        <v>18</v>
      </c>
      <c r="G29" s="68" t="s">
        <v>75</v>
      </c>
      <c r="H29" s="68" t="s">
        <v>39</v>
      </c>
    </row>
    <row r="30" spans="1:8" hidden="1" x14ac:dyDescent="0.25">
      <c r="A30" s="68" t="s">
        <v>76</v>
      </c>
      <c r="B30" s="68" t="s">
        <v>74</v>
      </c>
      <c r="C30" s="68" t="s">
        <v>10</v>
      </c>
      <c r="E30" s="68" t="s">
        <v>27</v>
      </c>
      <c r="F30" s="68" t="s">
        <v>18</v>
      </c>
      <c r="G30" s="68" t="s">
        <v>75</v>
      </c>
      <c r="H30" s="68" t="s">
        <v>39</v>
      </c>
    </row>
    <row r="31" spans="1:8" hidden="1" x14ac:dyDescent="0.25">
      <c r="A31" s="68" t="s">
        <v>77</v>
      </c>
      <c r="B31" s="68" t="s">
        <v>74</v>
      </c>
      <c r="C31" s="68" t="s">
        <v>10</v>
      </c>
      <c r="E31" s="68" t="s">
        <v>27</v>
      </c>
      <c r="F31" s="68" t="s">
        <v>18</v>
      </c>
      <c r="G31" s="68" t="s">
        <v>75</v>
      </c>
      <c r="H31" s="68" t="s">
        <v>39</v>
      </c>
    </row>
    <row r="32" spans="1:8" x14ac:dyDescent="0.25">
      <c r="A32" s="68" t="s">
        <v>78</v>
      </c>
      <c r="B32" s="68" t="s">
        <v>79</v>
      </c>
      <c r="C32" s="68" t="s">
        <v>10</v>
      </c>
      <c r="E32" s="68" t="s">
        <v>46</v>
      </c>
      <c r="F32" s="68" t="s">
        <v>80</v>
      </c>
      <c r="G32" s="68" t="s">
        <v>80</v>
      </c>
      <c r="H32" s="68" t="s">
        <v>39</v>
      </c>
    </row>
    <row r="33" spans="1:8" hidden="1" x14ac:dyDescent="0.25">
      <c r="A33" s="68" t="s">
        <v>81</v>
      </c>
      <c r="B33" s="68" t="s">
        <v>79</v>
      </c>
      <c r="C33" s="68" t="s">
        <v>10</v>
      </c>
      <c r="E33" s="68" t="s">
        <v>46</v>
      </c>
      <c r="F33" s="68" t="s">
        <v>80</v>
      </c>
      <c r="G33" s="68" t="s">
        <v>80</v>
      </c>
      <c r="H33" s="68" t="s">
        <v>39</v>
      </c>
    </row>
    <row r="34" spans="1:8" hidden="1" x14ac:dyDescent="0.25">
      <c r="A34" s="68" t="s">
        <v>82</v>
      </c>
      <c r="B34" s="68" t="s">
        <v>79</v>
      </c>
      <c r="C34" s="68" t="s">
        <v>10</v>
      </c>
      <c r="E34" s="68" t="s">
        <v>11</v>
      </c>
      <c r="F34" s="68" t="s">
        <v>18</v>
      </c>
      <c r="G34" s="68" t="s">
        <v>80</v>
      </c>
      <c r="H34" s="68" t="s">
        <v>39</v>
      </c>
    </row>
    <row r="35" spans="1:8" x14ac:dyDescent="0.25">
      <c r="A35" s="68" t="s">
        <v>83</v>
      </c>
      <c r="B35" s="69" t="s">
        <v>84</v>
      </c>
      <c r="C35" s="68" t="s">
        <v>60</v>
      </c>
      <c r="E35" s="68" t="s">
        <v>27</v>
      </c>
      <c r="F35" s="68" t="s">
        <v>18</v>
      </c>
      <c r="G35" s="68" t="s">
        <v>61</v>
      </c>
      <c r="H35" s="68" t="s">
        <v>54</v>
      </c>
    </row>
    <row r="36" spans="1:8" hidden="1" x14ac:dyDescent="0.25">
      <c r="A36" s="68" t="s">
        <v>85</v>
      </c>
      <c r="B36" s="69" t="s">
        <v>84</v>
      </c>
      <c r="C36" s="68" t="s">
        <v>60</v>
      </c>
      <c r="E36" s="68" t="s">
        <v>27</v>
      </c>
      <c r="F36" s="68" t="s">
        <v>18</v>
      </c>
      <c r="G36" s="68" t="s">
        <v>61</v>
      </c>
      <c r="H36" s="68" t="s">
        <v>54</v>
      </c>
    </row>
    <row r="37" spans="1:8" hidden="1" x14ac:dyDescent="0.25">
      <c r="A37" s="68" t="s">
        <v>86</v>
      </c>
      <c r="B37" s="69" t="s">
        <v>84</v>
      </c>
      <c r="C37" s="68" t="s">
        <v>60</v>
      </c>
      <c r="E37" s="68" t="s">
        <v>27</v>
      </c>
      <c r="F37" s="68" t="s">
        <v>18</v>
      </c>
      <c r="G37" s="68" t="s">
        <v>61</v>
      </c>
      <c r="H37" s="68" t="s">
        <v>54</v>
      </c>
    </row>
    <row r="38" spans="1:8" x14ac:dyDescent="0.25">
      <c r="A38" s="68" t="s">
        <v>87</v>
      </c>
      <c r="B38" s="69" t="s">
        <v>88</v>
      </c>
      <c r="C38" s="68" t="s">
        <v>60</v>
      </c>
      <c r="E38" s="68" t="s">
        <v>27</v>
      </c>
      <c r="F38" s="68" t="s">
        <v>18</v>
      </c>
      <c r="G38" s="68" t="s">
        <v>70</v>
      </c>
      <c r="H38" s="68" t="s">
        <v>54</v>
      </c>
    </row>
    <row r="39" spans="1:8" hidden="1" x14ac:dyDescent="0.25">
      <c r="A39" s="68" t="s">
        <v>89</v>
      </c>
      <c r="B39" s="69" t="s">
        <v>88</v>
      </c>
      <c r="C39" s="68" t="s">
        <v>60</v>
      </c>
      <c r="E39" s="68" t="s">
        <v>11</v>
      </c>
      <c r="F39" s="68" t="s">
        <v>18</v>
      </c>
      <c r="G39" s="68" t="s">
        <v>70</v>
      </c>
      <c r="H39" s="68" t="s">
        <v>54</v>
      </c>
    </row>
    <row r="40" spans="1:8" hidden="1" x14ac:dyDescent="0.25">
      <c r="A40" s="68" t="s">
        <v>90</v>
      </c>
      <c r="B40" s="69" t="s">
        <v>88</v>
      </c>
      <c r="C40" s="68" t="s">
        <v>60</v>
      </c>
      <c r="E40" s="68" t="s">
        <v>27</v>
      </c>
      <c r="F40" s="68" t="s">
        <v>18</v>
      </c>
      <c r="G40" s="68" t="s">
        <v>70</v>
      </c>
      <c r="H40" s="68" t="s">
        <v>54</v>
      </c>
    </row>
    <row r="41" spans="1:8" x14ac:dyDescent="0.25">
      <c r="A41" s="68" t="s">
        <v>91</v>
      </c>
      <c r="B41" s="69" t="s">
        <v>92</v>
      </c>
      <c r="C41" s="68" t="s">
        <v>10</v>
      </c>
      <c r="D41" s="68" t="s">
        <v>93</v>
      </c>
      <c r="E41" s="68" t="s">
        <v>27</v>
      </c>
      <c r="F41" s="68" t="s">
        <v>18</v>
      </c>
      <c r="G41" s="68" t="s">
        <v>23</v>
      </c>
      <c r="H41" s="68" t="s">
        <v>24</v>
      </c>
    </row>
    <row r="42" spans="1:8" hidden="1" x14ac:dyDescent="0.25">
      <c r="A42" s="68" t="s">
        <v>94</v>
      </c>
      <c r="B42" s="69" t="s">
        <v>92</v>
      </c>
      <c r="C42" s="68" t="s">
        <v>10</v>
      </c>
      <c r="D42" s="68" t="s">
        <v>93</v>
      </c>
      <c r="E42" s="68" t="s">
        <v>27</v>
      </c>
      <c r="F42" s="68" t="s">
        <v>18</v>
      </c>
      <c r="G42" s="68" t="s">
        <v>23</v>
      </c>
      <c r="H42" s="68" t="s">
        <v>24</v>
      </c>
    </row>
    <row r="43" spans="1:8" hidden="1" x14ac:dyDescent="0.25">
      <c r="A43" s="68" t="s">
        <v>95</v>
      </c>
      <c r="B43" s="69" t="s">
        <v>92</v>
      </c>
      <c r="C43" s="68" t="s">
        <v>10</v>
      </c>
      <c r="D43" s="68" t="s">
        <v>93</v>
      </c>
      <c r="E43" s="68" t="s">
        <v>11</v>
      </c>
      <c r="F43" s="68" t="s">
        <v>18</v>
      </c>
      <c r="G43" s="68" t="s">
        <v>23</v>
      </c>
      <c r="H43" s="68" t="s">
        <v>24</v>
      </c>
    </row>
    <row r="44" spans="1:8" x14ac:dyDescent="0.25">
      <c r="A44" s="68" t="s">
        <v>96</v>
      </c>
      <c r="B44" s="68" t="s">
        <v>97</v>
      </c>
      <c r="C44" s="68" t="s">
        <v>98</v>
      </c>
      <c r="E44" s="68" t="s">
        <v>99</v>
      </c>
      <c r="F44" s="68" t="s">
        <v>100</v>
      </c>
    </row>
    <row r="45" spans="1:8" hidden="1" x14ac:dyDescent="0.25">
      <c r="A45" s="68" t="s">
        <v>101</v>
      </c>
      <c r="B45" s="68" t="s">
        <v>97</v>
      </c>
      <c r="C45" s="68" t="s">
        <v>98</v>
      </c>
      <c r="E45" s="68" t="s">
        <v>99</v>
      </c>
      <c r="F45" s="68" t="s">
        <v>100</v>
      </c>
    </row>
    <row r="46" spans="1:8" hidden="1" x14ac:dyDescent="0.25">
      <c r="A46" s="68" t="s">
        <v>102</v>
      </c>
      <c r="B46" s="68" t="s">
        <v>97</v>
      </c>
      <c r="C46" s="68" t="s">
        <v>98</v>
      </c>
      <c r="E46" s="68" t="s">
        <v>99</v>
      </c>
      <c r="F46" s="68" t="s">
        <v>100</v>
      </c>
    </row>
    <row r="47" spans="1:8" x14ac:dyDescent="0.25">
      <c r="A47" s="68" t="s">
        <v>103</v>
      </c>
      <c r="B47" s="69" t="s">
        <v>104</v>
      </c>
      <c r="C47" s="68" t="s">
        <v>10</v>
      </c>
      <c r="E47" s="68" t="s">
        <v>99</v>
      </c>
      <c r="F47" s="68" t="s">
        <v>18</v>
      </c>
    </row>
    <row r="48" spans="1:8" hidden="1" x14ac:dyDescent="0.25">
      <c r="A48" s="68" t="s">
        <v>105</v>
      </c>
      <c r="B48" s="69" t="s">
        <v>104</v>
      </c>
      <c r="C48" s="68" t="s">
        <v>10</v>
      </c>
      <c r="E48" s="68" t="s">
        <v>99</v>
      </c>
      <c r="F48" s="68" t="s">
        <v>18</v>
      </c>
    </row>
    <row r="49" spans="1:8" hidden="1" x14ac:dyDescent="0.25">
      <c r="A49" s="68" t="s">
        <v>106</v>
      </c>
      <c r="B49" s="69" t="s">
        <v>104</v>
      </c>
      <c r="C49" s="68" t="s">
        <v>10</v>
      </c>
      <c r="E49" s="68" t="s">
        <v>99</v>
      </c>
      <c r="F49" s="68" t="s">
        <v>18</v>
      </c>
    </row>
    <row r="50" spans="1:8" x14ac:dyDescent="0.25">
      <c r="A50" s="68" t="s">
        <v>107</v>
      </c>
      <c r="B50" s="68" t="s">
        <v>108</v>
      </c>
      <c r="C50" s="68" t="s">
        <v>109</v>
      </c>
      <c r="D50" s="68" t="s">
        <v>110</v>
      </c>
      <c r="E50" s="68" t="s">
        <v>27</v>
      </c>
      <c r="F50" s="68" t="s">
        <v>18</v>
      </c>
      <c r="G50" s="68" t="s">
        <v>111</v>
      </c>
      <c r="H50" s="68" t="s">
        <v>112</v>
      </c>
    </row>
    <row r="51" spans="1:8" hidden="1" x14ac:dyDescent="0.25">
      <c r="A51" s="68" t="s">
        <v>113</v>
      </c>
      <c r="B51" s="68" t="s">
        <v>108</v>
      </c>
      <c r="C51" s="68" t="s">
        <v>109</v>
      </c>
      <c r="D51" s="68" t="s">
        <v>110</v>
      </c>
      <c r="E51" s="68" t="s">
        <v>27</v>
      </c>
      <c r="F51" s="68" t="s">
        <v>18</v>
      </c>
      <c r="G51" s="68" t="s">
        <v>111</v>
      </c>
      <c r="H51" s="68" t="s">
        <v>112</v>
      </c>
    </row>
    <row r="52" spans="1:8" hidden="1" x14ac:dyDescent="0.25">
      <c r="A52" s="68" t="s">
        <v>114</v>
      </c>
      <c r="B52" s="68" t="s">
        <v>108</v>
      </c>
      <c r="C52" s="68" t="s">
        <v>109</v>
      </c>
      <c r="D52" s="68" t="s">
        <v>110</v>
      </c>
      <c r="E52" s="68" t="s">
        <v>27</v>
      </c>
      <c r="F52" s="68" t="s">
        <v>18</v>
      </c>
      <c r="G52" s="68" t="s">
        <v>111</v>
      </c>
      <c r="H52" s="68" t="s">
        <v>112</v>
      </c>
    </row>
    <row r="53" spans="1:8" hidden="1" x14ac:dyDescent="0.25">
      <c r="A53" s="68" t="s">
        <v>115</v>
      </c>
      <c r="B53" s="68" t="s">
        <v>116</v>
      </c>
      <c r="C53" s="68" t="s">
        <v>10</v>
      </c>
      <c r="E53" s="68" t="s">
        <v>11</v>
      </c>
      <c r="F53" s="68" t="s">
        <v>117</v>
      </c>
      <c r="G53" s="68" t="s">
        <v>117</v>
      </c>
      <c r="H53" s="68" t="s">
        <v>24</v>
      </c>
    </row>
    <row r="54" spans="1:8" hidden="1" x14ac:dyDescent="0.25">
      <c r="A54" s="68" t="s">
        <v>118</v>
      </c>
      <c r="B54" s="68" t="s">
        <v>116</v>
      </c>
      <c r="C54" s="68" t="s">
        <v>10</v>
      </c>
      <c r="E54" s="68" t="s">
        <v>11</v>
      </c>
      <c r="F54" s="68" t="s">
        <v>117</v>
      </c>
      <c r="G54" s="68" t="s">
        <v>117</v>
      </c>
      <c r="H54" s="68" t="s">
        <v>24</v>
      </c>
    </row>
    <row r="55" spans="1:8" hidden="1" x14ac:dyDescent="0.25">
      <c r="A55" s="68" t="s">
        <v>119</v>
      </c>
      <c r="B55" s="68" t="s">
        <v>116</v>
      </c>
      <c r="C55" s="68" t="s">
        <v>10</v>
      </c>
      <c r="E55" s="68" t="s">
        <v>11</v>
      </c>
      <c r="F55" s="68" t="s">
        <v>117</v>
      </c>
      <c r="G55" s="68" t="s">
        <v>117</v>
      </c>
      <c r="H55" s="68" t="s">
        <v>24</v>
      </c>
    </row>
    <row r="56" spans="1:8" x14ac:dyDescent="0.25">
      <c r="A56" s="68" t="s">
        <v>120</v>
      </c>
      <c r="B56" s="69" t="s">
        <v>121</v>
      </c>
      <c r="C56" s="68" t="s">
        <v>10</v>
      </c>
      <c r="E56" s="68" t="s">
        <v>27</v>
      </c>
      <c r="F56" s="68" t="s">
        <v>18</v>
      </c>
      <c r="G56" s="68" t="s">
        <v>23</v>
      </c>
      <c r="H56" s="68" t="s">
        <v>24</v>
      </c>
    </row>
    <row r="57" spans="1:8" hidden="1" x14ac:dyDescent="0.25">
      <c r="A57" s="68" t="s">
        <v>122</v>
      </c>
      <c r="B57" s="69" t="s">
        <v>121</v>
      </c>
      <c r="C57" s="68" t="s">
        <v>10</v>
      </c>
      <c r="E57" s="68" t="s">
        <v>27</v>
      </c>
      <c r="F57" s="68" t="s">
        <v>18</v>
      </c>
      <c r="G57" s="68" t="s">
        <v>23</v>
      </c>
      <c r="H57" s="68" t="s">
        <v>24</v>
      </c>
    </row>
    <row r="58" spans="1:8" hidden="1" x14ac:dyDescent="0.25">
      <c r="A58" s="68" t="s">
        <v>123</v>
      </c>
      <c r="B58" s="69" t="s">
        <v>121</v>
      </c>
      <c r="C58" s="68" t="s">
        <v>10</v>
      </c>
      <c r="E58" s="68" t="s">
        <v>27</v>
      </c>
      <c r="F58" s="68" t="s">
        <v>18</v>
      </c>
      <c r="G58" s="68" t="s">
        <v>23</v>
      </c>
      <c r="H58" s="68" t="s">
        <v>24</v>
      </c>
    </row>
    <row r="59" spans="1:8" x14ac:dyDescent="0.25">
      <c r="A59" s="68" t="s">
        <v>124</v>
      </c>
      <c r="B59" s="68" t="s">
        <v>125</v>
      </c>
      <c r="C59" s="68" t="s">
        <v>10</v>
      </c>
      <c r="E59" s="68" t="s">
        <v>46</v>
      </c>
      <c r="F59" s="68" t="s">
        <v>80</v>
      </c>
      <c r="G59" s="68" t="s">
        <v>80</v>
      </c>
      <c r="H59" s="68" t="s">
        <v>39</v>
      </c>
    </row>
    <row r="60" spans="1:8" hidden="1" x14ac:dyDescent="0.25">
      <c r="A60" s="68" t="s">
        <v>126</v>
      </c>
      <c r="B60" s="68" t="s">
        <v>125</v>
      </c>
      <c r="C60" s="68" t="s">
        <v>10</v>
      </c>
      <c r="E60" s="68" t="s">
        <v>46</v>
      </c>
      <c r="F60" s="68" t="s">
        <v>80</v>
      </c>
      <c r="G60" s="68" t="s">
        <v>80</v>
      </c>
      <c r="H60" s="68" t="s">
        <v>39</v>
      </c>
    </row>
    <row r="61" spans="1:8" x14ac:dyDescent="0.25">
      <c r="A61" s="68" t="s">
        <v>127</v>
      </c>
      <c r="B61" s="68" t="s">
        <v>128</v>
      </c>
      <c r="C61" s="68" t="s">
        <v>10</v>
      </c>
      <c r="E61" s="68" t="s">
        <v>46</v>
      </c>
      <c r="F61" s="68" t="s">
        <v>80</v>
      </c>
      <c r="G61" s="68" t="s">
        <v>80</v>
      </c>
      <c r="H61" s="68" t="s">
        <v>39</v>
      </c>
    </row>
    <row r="62" spans="1:8" hidden="1" x14ac:dyDescent="0.25">
      <c r="A62" s="68" t="s">
        <v>129</v>
      </c>
      <c r="B62" s="68" t="s">
        <v>128</v>
      </c>
      <c r="C62" s="68" t="s">
        <v>10</v>
      </c>
      <c r="E62" s="68" t="s">
        <v>46</v>
      </c>
      <c r="F62" s="68" t="s">
        <v>80</v>
      </c>
      <c r="G62" s="68" t="s">
        <v>80</v>
      </c>
      <c r="H62" s="68" t="s">
        <v>39</v>
      </c>
    </row>
    <row r="63" spans="1:8" x14ac:dyDescent="0.25">
      <c r="A63" s="68" t="s">
        <v>130</v>
      </c>
      <c r="B63" s="68" t="s">
        <v>131</v>
      </c>
      <c r="C63" s="68" t="s">
        <v>10</v>
      </c>
      <c r="E63" s="68" t="s">
        <v>46</v>
      </c>
      <c r="F63" s="68" t="s">
        <v>80</v>
      </c>
      <c r="G63" s="68" t="s">
        <v>80</v>
      </c>
      <c r="H63" s="68" t="s">
        <v>39</v>
      </c>
    </row>
    <row r="64" spans="1:8" hidden="1" x14ac:dyDescent="0.25">
      <c r="A64" s="68" t="s">
        <v>132</v>
      </c>
      <c r="B64" s="68" t="s">
        <v>131</v>
      </c>
      <c r="C64" s="68" t="s">
        <v>10</v>
      </c>
      <c r="E64" s="68" t="s">
        <v>46</v>
      </c>
      <c r="F64" s="68" t="s">
        <v>80</v>
      </c>
      <c r="G64" s="68" t="s">
        <v>80</v>
      </c>
      <c r="H64" s="68" t="s">
        <v>39</v>
      </c>
    </row>
    <row r="65" spans="1:8" x14ac:dyDescent="0.25">
      <c r="A65" s="68" t="s">
        <v>133</v>
      </c>
      <c r="B65" s="69" t="s">
        <v>134</v>
      </c>
      <c r="C65" s="68" t="s">
        <v>10</v>
      </c>
      <c r="E65" s="68" t="s">
        <v>46</v>
      </c>
      <c r="F65" s="68" t="s">
        <v>135</v>
      </c>
      <c r="G65" s="68" t="s">
        <v>135</v>
      </c>
      <c r="H65" s="68" t="s">
        <v>136</v>
      </c>
    </row>
    <row r="66" spans="1:8" hidden="1" x14ac:dyDescent="0.25">
      <c r="A66" s="68" t="s">
        <v>137</v>
      </c>
      <c r="B66" s="69" t="s">
        <v>134</v>
      </c>
      <c r="C66" s="68" t="s">
        <v>10</v>
      </c>
      <c r="E66" s="68" t="s">
        <v>46</v>
      </c>
      <c r="F66" s="68" t="s">
        <v>135</v>
      </c>
      <c r="G66" s="68" t="s">
        <v>135</v>
      </c>
      <c r="H66" s="68" t="s">
        <v>136</v>
      </c>
    </row>
    <row r="67" spans="1:8" x14ac:dyDescent="0.25">
      <c r="A67" s="68" t="s">
        <v>138</v>
      </c>
      <c r="B67" s="69" t="s">
        <v>139</v>
      </c>
      <c r="C67" s="68" t="s">
        <v>10</v>
      </c>
      <c r="D67" s="68" t="s">
        <v>93</v>
      </c>
      <c r="E67" s="68" t="s">
        <v>140</v>
      </c>
      <c r="F67" s="68" t="s">
        <v>18</v>
      </c>
      <c r="G67" s="68" t="s">
        <v>141</v>
      </c>
      <c r="H67" s="68" t="s">
        <v>54</v>
      </c>
    </row>
    <row r="68" spans="1:8" hidden="1" x14ac:dyDescent="0.25">
      <c r="A68" s="68" t="s">
        <v>142</v>
      </c>
      <c r="B68" s="69" t="s">
        <v>139</v>
      </c>
      <c r="C68" s="68" t="s">
        <v>10</v>
      </c>
      <c r="E68" s="68" t="s">
        <v>140</v>
      </c>
      <c r="F68" s="68" t="s">
        <v>18</v>
      </c>
      <c r="G68" s="68" t="s">
        <v>141</v>
      </c>
      <c r="H68" s="68" t="s">
        <v>54</v>
      </c>
    </row>
    <row r="69" spans="1:8" x14ac:dyDescent="0.25">
      <c r="A69" s="68" t="s">
        <v>143</v>
      </c>
      <c r="B69" s="69" t="s">
        <v>144</v>
      </c>
      <c r="C69" s="68" t="s">
        <v>10</v>
      </c>
      <c r="D69" s="68" t="s">
        <v>93</v>
      </c>
      <c r="E69" s="68" t="s">
        <v>27</v>
      </c>
      <c r="F69" s="68" t="s">
        <v>18</v>
      </c>
      <c r="G69" s="68" t="s">
        <v>145</v>
      </c>
      <c r="H69" s="68" t="s">
        <v>146</v>
      </c>
    </row>
    <row r="70" spans="1:8" hidden="1" x14ac:dyDescent="0.25">
      <c r="A70" s="68" t="s">
        <v>147</v>
      </c>
      <c r="B70" s="69" t="s">
        <v>144</v>
      </c>
      <c r="C70" s="68" t="s">
        <v>10</v>
      </c>
      <c r="E70" s="68" t="s">
        <v>27</v>
      </c>
      <c r="F70" s="68" t="s">
        <v>145</v>
      </c>
      <c r="G70" s="68" t="s">
        <v>145</v>
      </c>
      <c r="H70" s="68" t="s">
        <v>146</v>
      </c>
    </row>
    <row r="71" spans="1:8" x14ac:dyDescent="0.25">
      <c r="A71" s="68" t="s">
        <v>148</v>
      </c>
      <c r="B71" s="69" t="s">
        <v>149</v>
      </c>
      <c r="C71" s="68" t="s">
        <v>10</v>
      </c>
      <c r="D71" s="68" t="s">
        <v>93</v>
      </c>
      <c r="E71" s="68" t="s">
        <v>46</v>
      </c>
      <c r="F71" s="68" t="s">
        <v>80</v>
      </c>
      <c r="G71" s="68" t="s">
        <v>80</v>
      </c>
      <c r="H71" s="68" t="s">
        <v>39</v>
      </c>
    </row>
    <row r="72" spans="1:8" hidden="1" x14ac:dyDescent="0.25">
      <c r="A72" s="68" t="s">
        <v>150</v>
      </c>
      <c r="B72" s="69" t="s">
        <v>149</v>
      </c>
      <c r="C72" s="68" t="s">
        <v>10</v>
      </c>
      <c r="D72" s="68" t="s">
        <v>93</v>
      </c>
      <c r="E72" s="68" t="s">
        <v>46</v>
      </c>
      <c r="F72" s="68" t="s">
        <v>80</v>
      </c>
      <c r="G72" s="68" t="s">
        <v>80</v>
      </c>
      <c r="H72" s="68" t="s">
        <v>39</v>
      </c>
    </row>
    <row r="73" spans="1:8" x14ac:dyDescent="0.25">
      <c r="A73" s="68" t="s">
        <v>151</v>
      </c>
      <c r="B73" s="68" t="s">
        <v>152</v>
      </c>
      <c r="C73" s="68" t="s">
        <v>153</v>
      </c>
      <c r="E73" s="68" t="s">
        <v>46</v>
      </c>
      <c r="F73" s="68" t="s">
        <v>154</v>
      </c>
      <c r="G73" s="68" t="s">
        <v>154</v>
      </c>
      <c r="H73" s="68" t="s">
        <v>155</v>
      </c>
    </row>
    <row r="74" spans="1:8" hidden="1" x14ac:dyDescent="0.25">
      <c r="A74" s="68" t="s">
        <v>156</v>
      </c>
      <c r="B74" s="68" t="s">
        <v>152</v>
      </c>
      <c r="C74" s="68" t="s">
        <v>153</v>
      </c>
      <c r="E74" s="68" t="s">
        <v>46</v>
      </c>
      <c r="F74" s="68" t="s">
        <v>154</v>
      </c>
      <c r="G74" s="68" t="s">
        <v>154</v>
      </c>
      <c r="H74" s="68" t="s">
        <v>155</v>
      </c>
    </row>
    <row r="75" spans="1:8" x14ac:dyDescent="0.25">
      <c r="A75" s="68" t="s">
        <v>157</v>
      </c>
      <c r="B75" s="68" t="s">
        <v>158</v>
      </c>
      <c r="C75" s="68" t="s">
        <v>10</v>
      </c>
      <c r="E75" s="68" t="s">
        <v>46</v>
      </c>
      <c r="F75" s="68" t="s">
        <v>159</v>
      </c>
      <c r="G75" s="68" t="s">
        <v>159</v>
      </c>
      <c r="H75" s="68" t="s">
        <v>39</v>
      </c>
    </row>
    <row r="76" spans="1:8" hidden="1" x14ac:dyDescent="0.25">
      <c r="A76" s="68" t="s">
        <v>160</v>
      </c>
      <c r="B76" s="68" t="s">
        <v>158</v>
      </c>
      <c r="C76" s="68" t="s">
        <v>10</v>
      </c>
      <c r="E76" s="68" t="s">
        <v>46</v>
      </c>
      <c r="F76" s="68" t="s">
        <v>159</v>
      </c>
      <c r="G76" s="68" t="s">
        <v>159</v>
      </c>
      <c r="H76" s="68" t="s">
        <v>39</v>
      </c>
    </row>
    <row r="77" spans="1:8" x14ac:dyDescent="0.25">
      <c r="A77" s="68" t="s">
        <v>161</v>
      </c>
      <c r="B77" s="68" t="s">
        <v>162</v>
      </c>
      <c r="C77" s="68" t="s">
        <v>10</v>
      </c>
      <c r="E77" s="68" t="s">
        <v>46</v>
      </c>
      <c r="F77" s="68" t="s">
        <v>31</v>
      </c>
      <c r="G77" s="68" t="s">
        <v>31</v>
      </c>
      <c r="H77" s="68" t="s">
        <v>20</v>
      </c>
    </row>
    <row r="78" spans="1:8" hidden="1" x14ac:dyDescent="0.25">
      <c r="A78" s="68" t="s">
        <v>163</v>
      </c>
      <c r="B78" s="68" t="s">
        <v>162</v>
      </c>
      <c r="C78" s="68" t="s">
        <v>10</v>
      </c>
      <c r="E78" s="68" t="s">
        <v>46</v>
      </c>
      <c r="F78" s="68" t="s">
        <v>31</v>
      </c>
      <c r="G78" s="68" t="s">
        <v>31</v>
      </c>
      <c r="H78" s="68" t="s">
        <v>20</v>
      </c>
    </row>
    <row r="79" spans="1:8" x14ac:dyDescent="0.25">
      <c r="A79" s="68" t="s">
        <v>164</v>
      </c>
      <c r="B79" s="68" t="s">
        <v>165</v>
      </c>
      <c r="C79" s="68" t="s">
        <v>10</v>
      </c>
      <c r="E79" s="68" t="s">
        <v>27</v>
      </c>
      <c r="F79" s="68" t="s">
        <v>18</v>
      </c>
      <c r="G79" s="68" t="s">
        <v>117</v>
      </c>
      <c r="H79" s="68" t="s">
        <v>24</v>
      </c>
    </row>
    <row r="80" spans="1:8" hidden="1" x14ac:dyDescent="0.25">
      <c r="A80" s="68" t="s">
        <v>166</v>
      </c>
      <c r="B80" s="68" t="s">
        <v>165</v>
      </c>
      <c r="C80" s="68" t="s">
        <v>10</v>
      </c>
      <c r="E80" s="68" t="s">
        <v>27</v>
      </c>
      <c r="F80" s="68" t="s">
        <v>18</v>
      </c>
      <c r="G80" s="68" t="s">
        <v>117</v>
      </c>
      <c r="H80" s="68" t="s">
        <v>24</v>
      </c>
    </row>
    <row r="81" spans="1:8" x14ac:dyDescent="0.25">
      <c r="A81" s="68" t="s">
        <v>167</v>
      </c>
      <c r="B81" s="68" t="s">
        <v>168</v>
      </c>
      <c r="C81" s="68" t="s">
        <v>10</v>
      </c>
      <c r="E81" s="68" t="s">
        <v>46</v>
      </c>
      <c r="F81" s="68" t="s">
        <v>117</v>
      </c>
      <c r="G81" s="68" t="s">
        <v>117</v>
      </c>
      <c r="H81" s="68" t="s">
        <v>24</v>
      </c>
    </row>
    <row r="82" spans="1:8" hidden="1" x14ac:dyDescent="0.25">
      <c r="A82" s="68" t="s">
        <v>169</v>
      </c>
      <c r="B82" s="68" t="s">
        <v>168</v>
      </c>
      <c r="C82" s="68" t="s">
        <v>10</v>
      </c>
      <c r="E82" s="68" t="s">
        <v>170</v>
      </c>
      <c r="F82" s="68" t="s">
        <v>18</v>
      </c>
      <c r="G82" s="68" t="s">
        <v>117</v>
      </c>
      <c r="H82" s="68" t="s">
        <v>24</v>
      </c>
    </row>
    <row r="83" spans="1:8" x14ac:dyDescent="0.25">
      <c r="A83" s="68" t="s">
        <v>171</v>
      </c>
      <c r="B83" s="69" t="s">
        <v>172</v>
      </c>
      <c r="C83" s="68" t="s">
        <v>173</v>
      </c>
      <c r="E83" s="68" t="s">
        <v>99</v>
      </c>
      <c r="F83" s="68" t="s">
        <v>24</v>
      </c>
    </row>
    <row r="84" spans="1:8" hidden="1" x14ac:dyDescent="0.25">
      <c r="A84" s="68" t="s">
        <v>174</v>
      </c>
      <c r="B84" s="69" t="s">
        <v>172</v>
      </c>
      <c r="C84" s="68" t="s">
        <v>173</v>
      </c>
      <c r="E84" s="68" t="s">
        <v>99</v>
      </c>
      <c r="F84" s="68" t="s">
        <v>24</v>
      </c>
    </row>
    <row r="85" spans="1:8" x14ac:dyDescent="0.25">
      <c r="A85" s="68" t="s">
        <v>175</v>
      </c>
      <c r="B85" s="69" t="s">
        <v>176</v>
      </c>
      <c r="C85" s="68" t="s">
        <v>177</v>
      </c>
      <c r="E85" s="68" t="s">
        <v>46</v>
      </c>
      <c r="F85" s="68" t="s">
        <v>145</v>
      </c>
      <c r="G85" s="68" t="s">
        <v>145</v>
      </c>
      <c r="H85" s="68" t="s">
        <v>146</v>
      </c>
    </row>
    <row r="86" spans="1:8" hidden="1" x14ac:dyDescent="0.25">
      <c r="A86" s="68" t="s">
        <v>178</v>
      </c>
      <c r="B86" s="69" t="s">
        <v>176</v>
      </c>
      <c r="C86" s="68" t="s">
        <v>177</v>
      </c>
      <c r="E86" s="68" t="s">
        <v>46</v>
      </c>
      <c r="F86" s="68" t="s">
        <v>145</v>
      </c>
      <c r="G86" s="68" t="s">
        <v>145</v>
      </c>
      <c r="H86" s="68" t="s">
        <v>146</v>
      </c>
    </row>
    <row r="87" spans="1:8" x14ac:dyDescent="0.25">
      <c r="A87" s="68" t="s">
        <v>179</v>
      </c>
      <c r="B87" s="68" t="s">
        <v>180</v>
      </c>
      <c r="C87" s="68" t="s">
        <v>60</v>
      </c>
      <c r="E87" s="68" t="s">
        <v>46</v>
      </c>
      <c r="F87" s="68" t="s">
        <v>141</v>
      </c>
      <c r="G87" s="68" t="s">
        <v>141</v>
      </c>
      <c r="H87" s="68" t="s">
        <v>54</v>
      </c>
    </row>
    <row r="88" spans="1:8" hidden="1" x14ac:dyDescent="0.25">
      <c r="A88" s="68" t="s">
        <v>181</v>
      </c>
      <c r="B88" s="68" t="s">
        <v>180</v>
      </c>
      <c r="C88" s="68" t="s">
        <v>60</v>
      </c>
      <c r="E88" s="68" t="s">
        <v>46</v>
      </c>
      <c r="F88" s="68" t="s">
        <v>141</v>
      </c>
      <c r="G88" s="68" t="s">
        <v>141</v>
      </c>
      <c r="H88" s="68" t="s">
        <v>54</v>
      </c>
    </row>
    <row r="89" spans="1:8" x14ac:dyDescent="0.25">
      <c r="A89" s="68" t="s">
        <v>182</v>
      </c>
      <c r="B89" s="68" t="s">
        <v>183</v>
      </c>
      <c r="C89" s="68" t="s">
        <v>10</v>
      </c>
      <c r="E89" s="68" t="s">
        <v>46</v>
      </c>
      <c r="F89" s="68" t="s">
        <v>75</v>
      </c>
      <c r="G89" s="68" t="s">
        <v>75</v>
      </c>
      <c r="H89" s="68" t="s">
        <v>39</v>
      </c>
    </row>
    <row r="90" spans="1:8" hidden="1" x14ac:dyDescent="0.25">
      <c r="A90" s="68" t="s">
        <v>184</v>
      </c>
      <c r="B90" s="68" t="s">
        <v>183</v>
      </c>
      <c r="C90" s="68" t="s">
        <v>10</v>
      </c>
      <c r="E90" s="68" t="s">
        <v>46</v>
      </c>
      <c r="F90" s="68" t="s">
        <v>75</v>
      </c>
      <c r="G90" s="68" t="s">
        <v>75</v>
      </c>
      <c r="H90" s="68" t="s">
        <v>39</v>
      </c>
    </row>
    <row r="91" spans="1:8" x14ac:dyDescent="0.25">
      <c r="A91" s="68" t="s">
        <v>185</v>
      </c>
      <c r="B91" s="68" t="s">
        <v>186</v>
      </c>
      <c r="C91" s="68" t="s">
        <v>60</v>
      </c>
      <c r="E91" s="68" t="s">
        <v>46</v>
      </c>
      <c r="F91" s="68" t="s">
        <v>187</v>
      </c>
      <c r="G91" s="68" t="s">
        <v>187</v>
      </c>
      <c r="H91" s="68" t="s">
        <v>54</v>
      </c>
    </row>
    <row r="92" spans="1:8" hidden="1" x14ac:dyDescent="0.25">
      <c r="A92" s="68" t="s">
        <v>188</v>
      </c>
      <c r="B92" s="68" t="s">
        <v>186</v>
      </c>
      <c r="C92" s="68" t="s">
        <v>60</v>
      </c>
      <c r="E92" s="68" t="s">
        <v>46</v>
      </c>
      <c r="F92" s="68" t="s">
        <v>187</v>
      </c>
      <c r="G92" s="68" t="s">
        <v>187</v>
      </c>
      <c r="H92" s="68" t="s">
        <v>54</v>
      </c>
    </row>
    <row r="93" spans="1:8" x14ac:dyDescent="0.25">
      <c r="A93" s="68" t="s">
        <v>189</v>
      </c>
      <c r="B93" s="68" t="s">
        <v>190</v>
      </c>
      <c r="C93" s="68" t="s">
        <v>60</v>
      </c>
      <c r="E93" s="68" t="s">
        <v>46</v>
      </c>
      <c r="F93" s="68" t="s">
        <v>53</v>
      </c>
      <c r="G93" s="68" t="s">
        <v>53</v>
      </c>
      <c r="H93" s="68" t="s">
        <v>54</v>
      </c>
    </row>
    <row r="94" spans="1:8" hidden="1" x14ac:dyDescent="0.25">
      <c r="A94" s="68" t="s">
        <v>191</v>
      </c>
      <c r="B94" s="68" t="s">
        <v>190</v>
      </c>
      <c r="C94" s="68" t="s">
        <v>60</v>
      </c>
      <c r="E94" s="68" t="s">
        <v>46</v>
      </c>
      <c r="F94" s="68" t="s">
        <v>53</v>
      </c>
      <c r="G94" s="68" t="s">
        <v>53</v>
      </c>
      <c r="H94" s="68" t="s">
        <v>54</v>
      </c>
    </row>
  </sheetData>
  <autoFilter ref="A1:H94" xr:uid="{101F05EA-6A87-7646-9D66-36E81A856E36}">
    <filterColumn colId="0">
      <filters>
        <filter val="1915273-1"/>
        <filter val="1926402-1"/>
        <filter val="1926405-1"/>
        <filter val="1926480-1"/>
        <filter val="1926694-1"/>
        <filter val="1926779-1"/>
        <filter val="1932710-1"/>
        <filter val="1932916-1"/>
        <filter val="1933014-1"/>
        <filter val="1933021-1"/>
        <filter val="1933163-1"/>
        <filter val="1933192-1"/>
        <filter val="1933195-1"/>
        <filter val="1933636-1"/>
        <filter val="1933957-1"/>
        <filter val="1933971-1"/>
        <filter val="1933974-1"/>
        <filter val="1934311-1"/>
        <filter val="1934315-1"/>
        <filter val="1935848-1"/>
        <filter val="1936810-1"/>
        <filter val="1937041-1"/>
        <filter val="1937045-1"/>
        <filter val="1937124-1"/>
        <filter val="1937537-1"/>
        <filter val="1937949-1"/>
        <filter val="1937950-1"/>
        <filter val="1938096-1"/>
        <filter val="1938163-1"/>
        <filter val="1938166-1"/>
        <filter val="1938338-1"/>
        <filter val="1938381-1"/>
        <filter val="1938384-1"/>
        <filter val="1938500-1"/>
        <filter val="1938573-1"/>
        <filter val="1940432-1"/>
        <filter val="1940444-1"/>
        <filter val="1940445-1"/>
        <filter val="1940446-1"/>
      </filters>
    </filterColumn>
    <filterColumn colId="4">
      <filters>
        <filter val="assigned"/>
        <filter val="awaiting-build"/>
        <filter val="need-info"/>
        <filter val="open"/>
        <filter val="verify-resolution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6"/>
  <sheetViews>
    <sheetView topLeftCell="A47" zoomScale="150" workbookViewId="0">
      <selection activeCell="A28" sqref="A28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28.83203125" style="5" customWidth="1"/>
    <col min="5" max="5" width="26" customWidth="1"/>
  </cols>
  <sheetData>
    <row r="1" spans="1:5" ht="57" customHeight="1" x14ac:dyDescent="0.25">
      <c r="A1" s="50" t="s">
        <v>192</v>
      </c>
      <c r="B1" s="80" t="s">
        <v>193</v>
      </c>
      <c r="C1" s="81"/>
      <c r="D1" s="36" t="s">
        <v>194</v>
      </c>
      <c r="E1" s="17"/>
    </row>
    <row r="2" spans="1:5" ht="32.25" customHeight="1" x14ac:dyDescent="0.25">
      <c r="A2" s="38" t="s">
        <v>195</v>
      </c>
      <c r="B2" s="39" t="s">
        <v>196</v>
      </c>
      <c r="C2" s="40" t="s">
        <v>197</v>
      </c>
      <c r="D2" s="40" t="s">
        <v>198</v>
      </c>
      <c r="E2" s="11"/>
    </row>
    <row r="3" spans="1:5" ht="17.25" customHeight="1" x14ac:dyDescent="0.2">
      <c r="A3" s="2" t="s">
        <v>425</v>
      </c>
      <c r="B3" s="41" t="s">
        <v>199</v>
      </c>
      <c r="C3" s="15">
        <v>95</v>
      </c>
      <c r="D3" s="4">
        <v>70</v>
      </c>
      <c r="E3" s="11"/>
    </row>
    <row r="4" spans="1:5" ht="15.5" customHeight="1" x14ac:dyDescent="0.2">
      <c r="A4" s="2" t="s">
        <v>426</v>
      </c>
      <c r="B4" s="4" t="s">
        <v>200</v>
      </c>
      <c r="C4" s="15">
        <v>80</v>
      </c>
      <c r="D4" s="4">
        <v>70</v>
      </c>
      <c r="E4" t="s">
        <v>201</v>
      </c>
    </row>
    <row r="5" spans="1:5" ht="15.5" customHeight="1" x14ac:dyDescent="0.2">
      <c r="A5" s="2" t="s">
        <v>427</v>
      </c>
      <c r="B5" s="4" t="s">
        <v>202</v>
      </c>
      <c r="C5" s="4">
        <v>92</v>
      </c>
      <c r="D5" s="4">
        <v>73</v>
      </c>
      <c r="E5" s="21"/>
    </row>
    <row r="6" spans="1:5" ht="18" customHeight="1" x14ac:dyDescent="0.2">
      <c r="A6" s="2" t="s">
        <v>428</v>
      </c>
      <c r="B6" s="4" t="s">
        <v>203</v>
      </c>
      <c r="C6" s="1">
        <v>95</v>
      </c>
      <c r="D6" s="60">
        <v>69</v>
      </c>
      <c r="E6" s="21"/>
    </row>
    <row r="7" spans="1:5" ht="14.5" customHeight="1" x14ac:dyDescent="0.2">
      <c r="A7" s="2" t="s">
        <v>429</v>
      </c>
      <c r="B7" s="4" t="s">
        <v>204</v>
      </c>
      <c r="C7" s="4">
        <v>95</v>
      </c>
      <c r="D7" s="59">
        <v>70</v>
      </c>
    </row>
    <row r="8" spans="1:5" ht="14" customHeight="1" x14ac:dyDescent="0.2">
      <c r="A8" s="2" t="s">
        <v>430</v>
      </c>
      <c r="B8" s="4" t="s">
        <v>205</v>
      </c>
      <c r="C8" s="4">
        <v>91</v>
      </c>
      <c r="D8" s="4">
        <v>72</v>
      </c>
    </row>
    <row r="9" spans="1:5" ht="16" x14ac:dyDescent="0.2">
      <c r="A9" s="2" t="s">
        <v>467</v>
      </c>
      <c r="B9" s="4" t="s">
        <v>206</v>
      </c>
      <c r="C9" s="4">
        <v>96</v>
      </c>
      <c r="D9" s="59">
        <v>73</v>
      </c>
    </row>
    <row r="10" spans="1:5" ht="16" x14ac:dyDescent="0.2">
      <c r="A10" s="2" t="s">
        <v>432</v>
      </c>
      <c r="B10" s="4" t="s">
        <v>207</v>
      </c>
      <c r="C10" s="4">
        <v>93</v>
      </c>
      <c r="D10" s="4">
        <v>74</v>
      </c>
    </row>
    <row r="11" spans="1:5" ht="16" x14ac:dyDescent="0.2">
      <c r="A11" s="2" t="s">
        <v>433</v>
      </c>
      <c r="B11" s="4" t="s">
        <v>208</v>
      </c>
      <c r="C11" s="4">
        <v>93</v>
      </c>
      <c r="D11" s="4">
        <v>74</v>
      </c>
    </row>
    <row r="12" spans="1:5" ht="16" x14ac:dyDescent="0.2">
      <c r="A12" s="2" t="s">
        <v>434</v>
      </c>
      <c r="B12" s="1" t="s">
        <v>209</v>
      </c>
      <c r="C12" s="1">
        <v>93</v>
      </c>
      <c r="D12" s="59">
        <v>45</v>
      </c>
    </row>
    <row r="13" spans="1:5" ht="16" x14ac:dyDescent="0.2">
      <c r="A13" s="2" t="s">
        <v>435</v>
      </c>
      <c r="B13" s="4" t="s">
        <v>210</v>
      </c>
      <c r="C13" s="1">
        <v>94</v>
      </c>
      <c r="D13" s="4">
        <v>76</v>
      </c>
    </row>
    <row r="14" spans="1:5" ht="16" x14ac:dyDescent="0.2">
      <c r="A14" s="2" t="s">
        <v>468</v>
      </c>
      <c r="B14" s="4" t="s">
        <v>211</v>
      </c>
      <c r="C14" s="4">
        <v>95</v>
      </c>
      <c r="D14" s="4">
        <v>76</v>
      </c>
    </row>
    <row r="15" spans="1:5" ht="16" x14ac:dyDescent="0.2">
      <c r="A15" s="2" t="s">
        <v>469</v>
      </c>
      <c r="B15" s="4" t="s">
        <v>212</v>
      </c>
      <c r="C15" s="1">
        <v>95</v>
      </c>
      <c r="D15" s="4">
        <v>76</v>
      </c>
    </row>
    <row r="16" spans="1:5" ht="16" x14ac:dyDescent="0.2">
      <c r="A16" s="3" t="s">
        <v>438</v>
      </c>
      <c r="B16" s="4" t="s">
        <v>213</v>
      </c>
      <c r="C16" s="46">
        <v>94</v>
      </c>
      <c r="D16" s="4">
        <v>73</v>
      </c>
    </row>
    <row r="17" spans="1:5" ht="16" x14ac:dyDescent="0.2">
      <c r="A17" s="43" t="s">
        <v>470</v>
      </c>
      <c r="B17" s="7" t="s">
        <v>214</v>
      </c>
      <c r="C17" s="7">
        <v>96</v>
      </c>
      <c r="D17" s="7">
        <v>76</v>
      </c>
    </row>
    <row r="18" spans="1:5" ht="40.5" customHeight="1" x14ac:dyDescent="0.25">
      <c r="A18" s="38" t="s">
        <v>215</v>
      </c>
      <c r="B18" s="39" t="s">
        <v>196</v>
      </c>
      <c r="C18" s="40" t="s">
        <v>197</v>
      </c>
      <c r="D18" s="40" t="s">
        <v>198</v>
      </c>
    </row>
    <row r="19" spans="1:5" ht="16" x14ac:dyDescent="0.2">
      <c r="A19" s="22" t="s">
        <v>440</v>
      </c>
      <c r="B19" s="44" t="s">
        <v>216</v>
      </c>
      <c r="C19" s="27">
        <v>85</v>
      </c>
      <c r="D19" s="55">
        <v>41</v>
      </c>
    </row>
    <row r="20" spans="1:5" ht="16" x14ac:dyDescent="0.2">
      <c r="A20" s="2" t="s">
        <v>441</v>
      </c>
      <c r="B20" s="6" t="s">
        <v>217</v>
      </c>
      <c r="C20" s="23">
        <v>90</v>
      </c>
      <c r="D20" s="57">
        <v>59</v>
      </c>
    </row>
    <row r="21" spans="1:5" ht="16" x14ac:dyDescent="0.2">
      <c r="A21" s="2" t="s">
        <v>442</v>
      </c>
      <c r="B21" s="6" t="s">
        <v>218</v>
      </c>
      <c r="C21" s="10">
        <v>92</v>
      </c>
      <c r="D21" s="57">
        <v>69</v>
      </c>
    </row>
    <row r="22" spans="1:5" ht="16" x14ac:dyDescent="0.2">
      <c r="A22" s="2" t="s">
        <v>443</v>
      </c>
      <c r="B22" s="6" t="s">
        <v>219</v>
      </c>
      <c r="C22" s="10">
        <v>90</v>
      </c>
      <c r="D22" s="57">
        <v>69</v>
      </c>
    </row>
    <row r="23" spans="1:5" ht="16" x14ac:dyDescent="0.2">
      <c r="A23" s="2" t="s">
        <v>444</v>
      </c>
      <c r="B23" s="6" t="s">
        <v>220</v>
      </c>
      <c r="C23" s="10">
        <v>90</v>
      </c>
      <c r="D23" s="57">
        <v>69</v>
      </c>
    </row>
    <row r="24" spans="1:5" ht="16" x14ac:dyDescent="0.2">
      <c r="A24" s="2" t="s">
        <v>471</v>
      </c>
      <c r="B24" s="6" t="s">
        <v>221</v>
      </c>
      <c r="C24" s="10">
        <v>95</v>
      </c>
      <c r="D24" s="57">
        <v>55</v>
      </c>
    </row>
    <row r="25" spans="1:5" ht="16" x14ac:dyDescent="0.2">
      <c r="A25" s="2" t="s">
        <v>446</v>
      </c>
      <c r="B25" s="6" t="s">
        <v>222</v>
      </c>
      <c r="C25" s="10">
        <v>91</v>
      </c>
      <c r="D25" s="57">
        <v>55</v>
      </c>
    </row>
    <row r="26" spans="1:5" ht="16" x14ac:dyDescent="0.2">
      <c r="A26" s="2" t="s">
        <v>447</v>
      </c>
      <c r="B26" s="6" t="s">
        <v>223</v>
      </c>
      <c r="C26" s="10">
        <v>93</v>
      </c>
      <c r="D26" s="57">
        <v>59</v>
      </c>
    </row>
    <row r="27" spans="1:5" ht="16" x14ac:dyDescent="0.2">
      <c r="A27" s="2" t="s">
        <v>472</v>
      </c>
      <c r="B27" s="6" t="s">
        <v>224</v>
      </c>
      <c r="C27" s="10">
        <v>92</v>
      </c>
      <c r="D27" s="57">
        <v>56</v>
      </c>
    </row>
    <row r="28" spans="1:5" ht="16" x14ac:dyDescent="0.2">
      <c r="A28" s="2" t="s">
        <v>473</v>
      </c>
      <c r="B28" s="6" t="s">
        <v>225</v>
      </c>
      <c r="C28" s="10">
        <v>93</v>
      </c>
      <c r="D28" s="57">
        <v>56</v>
      </c>
    </row>
    <row r="29" spans="1:5" ht="39" customHeight="1" x14ac:dyDescent="0.25">
      <c r="A29" s="29" t="s">
        <v>226</v>
      </c>
      <c r="B29" s="39" t="s">
        <v>227</v>
      </c>
      <c r="C29" s="40" t="s">
        <v>197</v>
      </c>
      <c r="D29" s="40" t="s">
        <v>338</v>
      </c>
    </row>
    <row r="30" spans="1:5" ht="16" x14ac:dyDescent="0.2">
      <c r="A30" s="2" t="s">
        <v>450</v>
      </c>
      <c r="B30" s="4" t="s">
        <v>422</v>
      </c>
      <c r="C30" s="47">
        <v>77</v>
      </c>
      <c r="D30" s="24" t="s">
        <v>228</v>
      </c>
      <c r="E30" t="s">
        <v>201</v>
      </c>
    </row>
    <row r="31" spans="1:5" ht="16" x14ac:dyDescent="0.2">
      <c r="A31" s="2" t="s">
        <v>451</v>
      </c>
      <c r="B31" s="4" t="s">
        <v>422</v>
      </c>
      <c r="C31" s="47">
        <v>77</v>
      </c>
      <c r="D31" s="24" t="s">
        <v>228</v>
      </c>
      <c r="E31" t="s">
        <v>201</v>
      </c>
    </row>
    <row r="32" spans="1:5" ht="16" x14ac:dyDescent="0.2">
      <c r="A32" s="2" t="s">
        <v>452</v>
      </c>
      <c r="B32" s="4" t="s">
        <v>422</v>
      </c>
      <c r="C32" s="47">
        <v>77</v>
      </c>
      <c r="D32" s="24" t="s">
        <v>228</v>
      </c>
      <c r="E32" t="s">
        <v>201</v>
      </c>
    </row>
    <row r="33" spans="1:5" ht="17.5" customHeight="1" x14ac:dyDescent="0.2">
      <c r="A33" s="2" t="s">
        <v>441</v>
      </c>
      <c r="B33" s="6" t="s">
        <v>229</v>
      </c>
      <c r="C33" s="47">
        <v>93</v>
      </c>
      <c r="D33" s="24" t="s">
        <v>228</v>
      </c>
    </row>
    <row r="34" spans="1:5" ht="41.25" customHeight="1" x14ac:dyDescent="0.25">
      <c r="A34" s="29" t="s">
        <v>230</v>
      </c>
      <c r="B34" s="39" t="s">
        <v>196</v>
      </c>
      <c r="C34" s="40" t="s">
        <v>197</v>
      </c>
      <c r="D34" s="40" t="s">
        <v>198</v>
      </c>
    </row>
    <row r="35" spans="1:5" ht="16" x14ac:dyDescent="0.2">
      <c r="A35" s="2" t="s">
        <v>231</v>
      </c>
      <c r="B35" s="4">
        <v>20000</v>
      </c>
      <c r="C35" s="48">
        <v>90</v>
      </c>
      <c r="D35" s="64">
        <v>34</v>
      </c>
    </row>
    <row r="36" spans="1:5" ht="16" x14ac:dyDescent="0.2">
      <c r="A36" s="2" t="s">
        <v>232</v>
      </c>
      <c r="B36" s="4">
        <v>19330</v>
      </c>
      <c r="C36" s="4">
        <v>92</v>
      </c>
      <c r="D36" s="64">
        <v>42</v>
      </c>
    </row>
    <row r="37" spans="1:5" ht="15.5" customHeight="1" x14ac:dyDescent="0.2">
      <c r="A37" s="2" t="s">
        <v>453</v>
      </c>
      <c r="B37" s="4">
        <v>10000</v>
      </c>
      <c r="C37" s="4">
        <v>90</v>
      </c>
      <c r="D37" s="60">
        <v>38</v>
      </c>
    </row>
    <row r="38" spans="1:5" ht="16" x14ac:dyDescent="0.2">
      <c r="A38" s="2" t="s">
        <v>454</v>
      </c>
      <c r="B38" s="4">
        <v>2400</v>
      </c>
      <c r="C38" s="4">
        <v>90</v>
      </c>
      <c r="D38" s="60">
        <v>40</v>
      </c>
    </row>
    <row r="39" spans="1:5" ht="16" x14ac:dyDescent="0.2">
      <c r="A39" s="22" t="s">
        <v>233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234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455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456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457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235</v>
      </c>
      <c r="B44" s="39" t="s">
        <v>196</v>
      </c>
      <c r="C44" s="40" t="s">
        <v>197</v>
      </c>
      <c r="D44" s="40" t="s">
        <v>338</v>
      </c>
    </row>
    <row r="45" spans="1:5" ht="18.5" customHeight="1" x14ac:dyDescent="0.2">
      <c r="A45" s="13" t="s">
        <v>236</v>
      </c>
      <c r="B45" s="4" t="s">
        <v>237</v>
      </c>
      <c r="C45" s="33">
        <v>98</v>
      </c>
      <c r="D45" s="24" t="s">
        <v>238</v>
      </c>
    </row>
    <row r="46" spans="1:5" ht="17.5" customHeight="1" x14ac:dyDescent="0.2">
      <c r="A46" s="13" t="s">
        <v>239</v>
      </c>
      <c r="B46" s="4" t="s">
        <v>240</v>
      </c>
      <c r="C46" s="49">
        <v>98</v>
      </c>
      <c r="D46" s="24" t="s">
        <v>238</v>
      </c>
    </row>
    <row r="47" spans="1:5" ht="16" x14ac:dyDescent="0.2">
      <c r="A47" s="8" t="s">
        <v>241</v>
      </c>
      <c r="B47" s="6" t="s">
        <v>242</v>
      </c>
      <c r="C47" s="23">
        <v>90</v>
      </c>
      <c r="D47" s="57" t="s">
        <v>238</v>
      </c>
      <c r="E47" t="s">
        <v>201</v>
      </c>
    </row>
    <row r="48" spans="1:5" ht="16" x14ac:dyDescent="0.2">
      <c r="A48" s="2" t="s">
        <v>243</v>
      </c>
      <c r="B48" s="4" t="s">
        <v>244</v>
      </c>
      <c r="C48" s="23">
        <v>98</v>
      </c>
      <c r="D48" s="59" t="s">
        <v>245</v>
      </c>
    </row>
    <row r="49" spans="1:4" ht="16" x14ac:dyDescent="0.2">
      <c r="A49" s="2" t="s">
        <v>246</v>
      </c>
      <c r="B49" s="4"/>
      <c r="C49" s="23"/>
      <c r="D49" s="57"/>
    </row>
    <row r="50" spans="1:4" ht="16" x14ac:dyDescent="0.2">
      <c r="A50" s="8" t="s">
        <v>247</v>
      </c>
      <c r="B50" s="4" t="s">
        <v>248</v>
      </c>
      <c r="C50" s="23">
        <v>99</v>
      </c>
      <c r="D50" s="24" t="s">
        <v>238</v>
      </c>
    </row>
    <row r="51" spans="1:4" ht="16.25" customHeight="1" x14ac:dyDescent="0.2">
      <c r="A51" s="8" t="s">
        <v>249</v>
      </c>
      <c r="B51" s="7" t="s">
        <v>250</v>
      </c>
      <c r="C51" s="32">
        <v>98</v>
      </c>
      <c r="D51" s="24" t="s">
        <v>238</v>
      </c>
    </row>
    <row r="52" spans="1:4" ht="15.5" customHeight="1" x14ac:dyDescent="0.2">
      <c r="A52" s="8" t="s">
        <v>251</v>
      </c>
      <c r="B52" s="4" t="s">
        <v>252</v>
      </c>
      <c r="C52" s="23">
        <v>99</v>
      </c>
      <c r="D52" s="24"/>
    </row>
    <row r="53" spans="1:4" ht="16.25" customHeight="1" x14ac:dyDescent="0.2">
      <c r="A53" s="8" t="s">
        <v>253</v>
      </c>
      <c r="B53" s="15" t="s">
        <v>254</v>
      </c>
      <c r="C53" s="31">
        <v>99</v>
      </c>
      <c r="D53" s="24" t="s">
        <v>238</v>
      </c>
    </row>
    <row r="54" spans="1:4" ht="16" x14ac:dyDescent="0.2">
      <c r="A54" s="18" t="s">
        <v>255</v>
      </c>
      <c r="B54" s="4" t="s">
        <v>256</v>
      </c>
      <c r="C54" s="23">
        <v>98</v>
      </c>
      <c r="D54" s="59" t="s">
        <v>257</v>
      </c>
    </row>
    <row r="55" spans="1:4" ht="16" x14ac:dyDescent="0.2">
      <c r="A55" s="19" t="s">
        <v>258</v>
      </c>
      <c r="B55" s="4" t="s">
        <v>259</v>
      </c>
      <c r="C55" s="23">
        <v>98</v>
      </c>
      <c r="D55" s="59" t="s">
        <v>260</v>
      </c>
    </row>
    <row r="56" spans="1:4" ht="17" customHeight="1" x14ac:dyDescent="0.2">
      <c r="A56" s="19" t="s">
        <v>261</v>
      </c>
      <c r="B56" s="4" t="s">
        <v>262</v>
      </c>
      <c r="C56" s="23">
        <v>99</v>
      </c>
      <c r="D56" s="59" t="s">
        <v>263</v>
      </c>
    </row>
    <row r="57" spans="1:4" ht="16" x14ac:dyDescent="0.2">
      <c r="A57" s="9" t="s">
        <v>264</v>
      </c>
      <c r="B57" s="4" t="s">
        <v>265</v>
      </c>
      <c r="C57" s="23">
        <v>98</v>
      </c>
      <c r="D57" s="24" t="s">
        <v>238</v>
      </c>
    </row>
    <row r="58" spans="1:4" ht="17.25" customHeight="1" x14ac:dyDescent="0.2">
      <c r="A58" s="2" t="s">
        <v>266</v>
      </c>
      <c r="B58" s="4"/>
      <c r="C58" s="58"/>
      <c r="D58" s="70" t="s">
        <v>267</v>
      </c>
    </row>
    <row r="59" spans="1:4" ht="30" customHeight="1" x14ac:dyDescent="0.2">
      <c r="A59" s="2" t="s">
        <v>268</v>
      </c>
      <c r="B59" s="4"/>
      <c r="C59" s="23"/>
      <c r="D59" s="70" t="s">
        <v>267</v>
      </c>
    </row>
    <row r="60" spans="1:4" ht="19.5" customHeight="1" x14ac:dyDescent="0.2">
      <c r="A60" s="2" t="s">
        <v>269</v>
      </c>
      <c r="B60" s="4"/>
      <c r="C60" s="23"/>
      <c r="D60" s="70" t="s">
        <v>267</v>
      </c>
    </row>
    <row r="61" spans="1:4" ht="18.75" customHeight="1" x14ac:dyDescent="0.2">
      <c r="A61" s="2" t="s">
        <v>270</v>
      </c>
      <c r="B61" s="4"/>
      <c r="C61" s="23"/>
      <c r="D61" s="70" t="s">
        <v>267</v>
      </c>
    </row>
    <row r="62" spans="1:4" ht="17.5" customHeight="1" x14ac:dyDescent="0.2">
      <c r="A62" s="2" t="s">
        <v>271</v>
      </c>
      <c r="B62" s="4"/>
      <c r="C62" s="32"/>
      <c r="D62" s="70" t="s">
        <v>267</v>
      </c>
    </row>
    <row r="63" spans="1:4" ht="18" customHeight="1" x14ac:dyDescent="0.2">
      <c r="A63" s="2" t="s">
        <v>272</v>
      </c>
      <c r="B63" s="4"/>
      <c r="C63" s="23"/>
      <c r="D63" s="70" t="s">
        <v>267</v>
      </c>
    </row>
    <row r="64" spans="1:4" ht="18" customHeight="1" x14ac:dyDescent="0.2">
      <c r="A64" s="2" t="s">
        <v>273</v>
      </c>
      <c r="B64" s="4"/>
      <c r="C64" s="53"/>
      <c r="D64" s="70" t="s">
        <v>267</v>
      </c>
    </row>
    <row r="65" spans="1:4" ht="32.25" customHeight="1" x14ac:dyDescent="0.2">
      <c r="A65" s="3" t="s">
        <v>274</v>
      </c>
      <c r="B65" s="6"/>
      <c r="C65" s="52"/>
      <c r="D65" s="57"/>
    </row>
    <row r="66" spans="1:4" ht="18" customHeight="1" x14ac:dyDescent="0.25">
      <c r="A66" s="28" t="s">
        <v>275</v>
      </c>
      <c r="B66" s="20" t="s">
        <v>276</v>
      </c>
      <c r="C66" s="30" t="s">
        <v>197</v>
      </c>
      <c r="D66" s="67"/>
    </row>
    <row r="67" spans="1:4" ht="16" x14ac:dyDescent="0.2">
      <c r="A67" s="2" t="s">
        <v>277</v>
      </c>
      <c r="B67" s="24"/>
      <c r="C67" s="10"/>
      <c r="D67" s="57"/>
    </row>
    <row r="68" spans="1:4" ht="16" x14ac:dyDescent="0.2">
      <c r="A68" s="2" t="s">
        <v>278</v>
      </c>
      <c r="B68" s="24"/>
      <c r="C68" s="10"/>
      <c r="D68" s="57"/>
    </row>
    <row r="69" spans="1:4" ht="16" x14ac:dyDescent="0.2">
      <c r="A69" s="2" t="s">
        <v>279</v>
      </c>
      <c r="B69" s="24"/>
      <c r="C69" s="10"/>
      <c r="D69" s="57"/>
    </row>
    <row r="70" spans="1:4" ht="16" x14ac:dyDescent="0.2">
      <c r="A70" s="2" t="s">
        <v>280</v>
      </c>
      <c r="B70" s="24"/>
      <c r="C70" s="10"/>
      <c r="D70" s="57"/>
    </row>
    <row r="71" spans="1:4" ht="16" x14ac:dyDescent="0.2">
      <c r="A71" s="2" t="s">
        <v>281</v>
      </c>
      <c r="B71" s="24"/>
      <c r="C71" s="10"/>
      <c r="D71" s="57"/>
    </row>
    <row r="72" spans="1:4" ht="16" x14ac:dyDescent="0.2">
      <c r="A72" s="2" t="s">
        <v>282</v>
      </c>
      <c r="B72" s="24"/>
      <c r="C72" s="10"/>
      <c r="D72" s="57"/>
    </row>
    <row r="73" spans="1:4" ht="16" x14ac:dyDescent="0.2">
      <c r="A73" s="2" t="s">
        <v>283</v>
      </c>
      <c r="B73" s="24"/>
      <c r="C73" s="10"/>
      <c r="D73" s="57"/>
    </row>
    <row r="74" spans="1:4" ht="16" x14ac:dyDescent="0.2">
      <c r="A74" s="2" t="s">
        <v>284</v>
      </c>
      <c r="B74" s="24"/>
      <c r="C74" s="10"/>
      <c r="D74" s="57"/>
    </row>
    <row r="75" spans="1:4" ht="16" x14ac:dyDescent="0.2">
      <c r="A75" s="2" t="s">
        <v>285</v>
      </c>
      <c r="B75" s="24"/>
      <c r="C75" s="10"/>
      <c r="D75" s="57"/>
    </row>
    <row r="76" spans="1:4" ht="16" x14ac:dyDescent="0.2">
      <c r="A76" s="2" t="s">
        <v>286</v>
      </c>
      <c r="B76" s="24"/>
      <c r="C76" s="10"/>
      <c r="D76" s="57"/>
    </row>
    <row r="77" spans="1:4" ht="16" x14ac:dyDescent="0.2">
      <c r="A77" s="2" t="s">
        <v>287</v>
      </c>
      <c r="B77" s="24"/>
      <c r="C77" s="10"/>
      <c r="D77" s="57"/>
    </row>
    <row r="78" spans="1:4" ht="16" x14ac:dyDescent="0.2">
      <c r="A78" s="2" t="s">
        <v>288</v>
      </c>
      <c r="B78" s="24"/>
      <c r="C78" s="10"/>
      <c r="D78" s="57"/>
    </row>
    <row r="79" spans="1:4" ht="16" x14ac:dyDescent="0.2">
      <c r="A79" s="2" t="s">
        <v>289</v>
      </c>
      <c r="B79" s="24"/>
      <c r="C79" s="10"/>
      <c r="D79" s="57"/>
    </row>
    <row r="80" spans="1:4" ht="16" x14ac:dyDescent="0.2">
      <c r="A80" s="2" t="s">
        <v>290</v>
      </c>
      <c r="B80" s="33"/>
      <c r="C80" s="23"/>
      <c r="D80" s="57"/>
    </row>
    <row r="81" spans="1:4" ht="16" x14ac:dyDescent="0.2">
      <c r="A81" s="43" t="s">
        <v>291</v>
      </c>
      <c r="B81" s="24"/>
      <c r="C81" s="32"/>
      <c r="D81" s="57"/>
    </row>
    <row r="82" spans="1:4" ht="16" x14ac:dyDescent="0.2">
      <c r="A82" s="51" t="s">
        <v>292</v>
      </c>
      <c r="B82" s="24"/>
      <c r="C82" s="32"/>
      <c r="D82" s="57"/>
    </row>
    <row r="83" spans="1:4" ht="16" x14ac:dyDescent="0.2">
      <c r="A83" s="22" t="s">
        <v>293</v>
      </c>
      <c r="B83" s="33"/>
      <c r="C83" s="23"/>
      <c r="D83" s="57"/>
    </row>
    <row r="84" spans="1:4" ht="16" x14ac:dyDescent="0.2">
      <c r="A84" s="2" t="s">
        <v>294</v>
      </c>
      <c r="B84" s="24"/>
      <c r="C84" s="10"/>
      <c r="D84" s="57"/>
    </row>
    <row r="85" spans="1:4" ht="16" x14ac:dyDescent="0.2">
      <c r="A85" s="2" t="s">
        <v>295</v>
      </c>
      <c r="B85" s="24"/>
      <c r="C85" s="10"/>
      <c r="D85" s="57"/>
    </row>
    <row r="86" spans="1:4" ht="16" x14ac:dyDescent="0.2">
      <c r="A86" s="2" t="s">
        <v>296</v>
      </c>
      <c r="B86" s="10" t="s">
        <v>404</v>
      </c>
      <c r="C86" s="10">
        <v>10</v>
      </c>
      <c r="D86" s="52">
        <v>85</v>
      </c>
    </row>
    <row r="87" spans="1:4" ht="16" x14ac:dyDescent="0.2">
      <c r="A87" s="2" t="s">
        <v>297</v>
      </c>
      <c r="B87" s="10" t="s">
        <v>405</v>
      </c>
      <c r="C87" s="10">
        <v>10</v>
      </c>
      <c r="D87" s="57">
        <v>85</v>
      </c>
    </row>
    <row r="88" spans="1:4" ht="16" x14ac:dyDescent="0.2">
      <c r="A88" s="2" t="s">
        <v>298</v>
      </c>
      <c r="B88" s="24"/>
      <c r="C88" s="10"/>
      <c r="D88" s="57"/>
    </row>
    <row r="89" spans="1:4" ht="16" x14ac:dyDescent="0.2">
      <c r="A89" s="2" t="s">
        <v>299</v>
      </c>
      <c r="B89" s="24"/>
      <c r="C89" s="10"/>
      <c r="D89" s="57"/>
    </row>
    <row r="90" spans="1:4" ht="16" x14ac:dyDescent="0.2">
      <c r="A90" s="2" t="s">
        <v>300</v>
      </c>
      <c r="B90" s="24"/>
      <c r="C90" s="10"/>
      <c r="D90" s="57"/>
    </row>
    <row r="91" spans="1:4" ht="16" x14ac:dyDescent="0.2">
      <c r="A91" s="2" t="s">
        <v>301</v>
      </c>
      <c r="B91" s="10">
        <v>80000</v>
      </c>
      <c r="C91" s="10">
        <v>55</v>
      </c>
      <c r="D91" s="57">
        <v>35</v>
      </c>
    </row>
    <row r="92" spans="1:4" ht="16" x14ac:dyDescent="0.2">
      <c r="A92" s="2" t="s">
        <v>458</v>
      </c>
      <c r="B92" s="24">
        <v>80000</v>
      </c>
      <c r="C92" s="10">
        <v>60</v>
      </c>
      <c r="D92" s="57">
        <v>37</v>
      </c>
    </row>
    <row r="93" spans="1:4" ht="16" x14ac:dyDescent="0.2">
      <c r="A93" s="2" t="s">
        <v>302</v>
      </c>
      <c r="B93" s="52" t="s">
        <v>424</v>
      </c>
      <c r="C93" s="57"/>
      <c r="D93" s="71"/>
    </row>
    <row r="94" spans="1:4" ht="16" x14ac:dyDescent="0.2">
      <c r="A94" s="2" t="s">
        <v>303</v>
      </c>
      <c r="B94" s="24">
        <v>32000</v>
      </c>
      <c r="C94" s="5">
        <v>56</v>
      </c>
      <c r="D94" s="56">
        <v>40</v>
      </c>
    </row>
    <row r="95" spans="1:4" ht="16" x14ac:dyDescent="0.2">
      <c r="A95" s="2" t="s">
        <v>304</v>
      </c>
      <c r="B95" s="24">
        <v>32000</v>
      </c>
      <c r="C95" s="26">
        <v>57</v>
      </c>
      <c r="D95" s="56">
        <v>58</v>
      </c>
    </row>
    <row r="96" spans="1:4" ht="16" x14ac:dyDescent="0.2">
      <c r="A96" s="8" t="s">
        <v>305</v>
      </c>
      <c r="B96" s="34">
        <v>8000</v>
      </c>
      <c r="C96" s="35">
        <v>74</v>
      </c>
      <c r="D96" s="10">
        <v>48</v>
      </c>
    </row>
    <row r="97" spans="1:9" ht="16" x14ac:dyDescent="0.2">
      <c r="A97" s="2" t="s">
        <v>306</v>
      </c>
      <c r="B97" s="72">
        <v>26000</v>
      </c>
      <c r="C97" s="70"/>
      <c r="D97" s="70" t="s">
        <v>307</v>
      </c>
    </row>
    <row r="98" spans="1:9" ht="16" x14ac:dyDescent="0.2">
      <c r="A98" s="2" t="s">
        <v>308</v>
      </c>
      <c r="B98" s="24">
        <v>1000</v>
      </c>
      <c r="C98" s="24">
        <v>99</v>
      </c>
      <c r="D98" s="24">
        <v>57</v>
      </c>
    </row>
    <row r="99" spans="1:9" ht="16" x14ac:dyDescent="0.2">
      <c r="A99" s="2" t="s">
        <v>309</v>
      </c>
      <c r="B99" s="24">
        <v>300</v>
      </c>
      <c r="C99" s="10">
        <v>99</v>
      </c>
      <c r="D99" s="10">
        <v>69</v>
      </c>
    </row>
    <row r="100" spans="1:9" ht="16" x14ac:dyDescent="0.2">
      <c r="A100" s="2" t="s">
        <v>310</v>
      </c>
      <c r="B100" s="16"/>
      <c r="C100" s="10"/>
      <c r="D100" s="10"/>
    </row>
    <row r="101" spans="1:9" ht="16" x14ac:dyDescent="0.2">
      <c r="A101" s="2" t="s">
        <v>311</v>
      </c>
      <c r="B101" s="10"/>
      <c r="C101" s="10"/>
      <c r="D101" s="10"/>
    </row>
    <row r="102" spans="1:9" ht="16" x14ac:dyDescent="0.2">
      <c r="A102" s="2" t="s">
        <v>312</v>
      </c>
      <c r="B102" s="24"/>
      <c r="C102" s="10"/>
      <c r="D102" s="10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  <row r="106" spans="1:9" ht="15" customHeight="1" x14ac:dyDescent="0.2">
      <c r="H106" s="11"/>
      <c r="I106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I106"/>
  <sheetViews>
    <sheetView tabSelected="1" topLeftCell="A40" zoomScale="150" workbookViewId="0">
      <selection activeCell="B61" sqref="B61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8" max="8" width="11.1640625" bestFit="1" customWidth="1"/>
  </cols>
  <sheetData>
    <row r="1" spans="1:5" ht="57" customHeight="1" x14ac:dyDescent="0.2">
      <c r="A1" s="50" t="s">
        <v>313</v>
      </c>
      <c r="B1" s="80" t="s">
        <v>314</v>
      </c>
      <c r="C1" s="81"/>
      <c r="D1" s="36" t="s">
        <v>194</v>
      </c>
    </row>
    <row r="2" spans="1:5" ht="18" customHeight="1" x14ac:dyDescent="0.25">
      <c r="A2" s="38" t="s">
        <v>195</v>
      </c>
      <c r="B2" s="39" t="s">
        <v>196</v>
      </c>
      <c r="C2" s="40" t="s">
        <v>197</v>
      </c>
      <c r="D2" s="40" t="s">
        <v>198</v>
      </c>
    </row>
    <row r="3" spans="1:5" ht="17" customHeight="1" x14ac:dyDescent="0.2">
      <c r="A3" s="2" t="s">
        <v>425</v>
      </c>
      <c r="B3" s="1" t="s">
        <v>315</v>
      </c>
      <c r="C3" s="59">
        <v>91</v>
      </c>
      <c r="D3" s="59">
        <v>39</v>
      </c>
    </row>
    <row r="4" spans="1:5" ht="16.25" customHeight="1" x14ac:dyDescent="0.2">
      <c r="A4" s="2" t="s">
        <v>426</v>
      </c>
      <c r="B4" s="4" t="s">
        <v>316</v>
      </c>
      <c r="C4" s="4">
        <v>70</v>
      </c>
      <c r="D4" s="59">
        <v>40</v>
      </c>
      <c r="E4" t="s">
        <v>317</v>
      </c>
    </row>
    <row r="5" spans="1:5" ht="15.5" customHeight="1" x14ac:dyDescent="0.2">
      <c r="A5" s="2" t="s">
        <v>427</v>
      </c>
      <c r="B5" s="4" t="s">
        <v>420</v>
      </c>
      <c r="C5" s="4">
        <v>92</v>
      </c>
      <c r="D5" s="59">
        <v>57</v>
      </c>
    </row>
    <row r="6" spans="1:5" ht="18" customHeight="1" x14ac:dyDescent="0.2">
      <c r="A6" s="2" t="s">
        <v>428</v>
      </c>
      <c r="B6" s="1" t="s">
        <v>318</v>
      </c>
      <c r="C6" s="4">
        <v>94</v>
      </c>
      <c r="D6" s="59">
        <v>41</v>
      </c>
    </row>
    <row r="7" spans="1:5" ht="14.5" customHeight="1" x14ac:dyDescent="0.2">
      <c r="A7" s="2" t="s">
        <v>429</v>
      </c>
      <c r="B7" s="4" t="s">
        <v>319</v>
      </c>
      <c r="C7" s="59">
        <v>96</v>
      </c>
      <c r="D7" s="59">
        <v>43</v>
      </c>
    </row>
    <row r="8" spans="1:5" ht="14" customHeight="1" x14ac:dyDescent="0.2">
      <c r="A8" s="2" t="s">
        <v>430</v>
      </c>
      <c r="B8" s="4" t="s">
        <v>320</v>
      </c>
      <c r="C8" s="4">
        <v>90</v>
      </c>
      <c r="D8" s="59">
        <v>41</v>
      </c>
    </row>
    <row r="9" spans="1:5" ht="16" x14ac:dyDescent="0.2">
      <c r="A9" s="2" t="s">
        <v>467</v>
      </c>
      <c r="B9" s="4" t="s">
        <v>321</v>
      </c>
      <c r="C9" s="59">
        <v>90</v>
      </c>
      <c r="D9" s="59">
        <v>43</v>
      </c>
    </row>
    <row r="10" spans="1:5" ht="16" x14ac:dyDescent="0.2">
      <c r="A10" s="2" t="s">
        <v>432</v>
      </c>
      <c r="B10" s="4" t="s">
        <v>322</v>
      </c>
      <c r="C10" s="4">
        <v>90</v>
      </c>
      <c r="D10" s="59">
        <v>46</v>
      </c>
    </row>
    <row r="11" spans="1:5" ht="16" x14ac:dyDescent="0.2">
      <c r="A11" s="2" t="s">
        <v>433</v>
      </c>
      <c r="B11" s="4" t="s">
        <v>406</v>
      </c>
      <c r="C11" s="4">
        <v>92</v>
      </c>
      <c r="D11" s="59">
        <v>40</v>
      </c>
    </row>
    <row r="12" spans="1:5" ht="16" x14ac:dyDescent="0.2">
      <c r="A12" s="2" t="s">
        <v>434</v>
      </c>
      <c r="B12" s="1" t="s">
        <v>216</v>
      </c>
      <c r="C12" s="59">
        <v>92</v>
      </c>
      <c r="D12" s="59">
        <v>42</v>
      </c>
    </row>
    <row r="13" spans="1:5" ht="16" x14ac:dyDescent="0.2">
      <c r="A13" s="2" t="s">
        <v>435</v>
      </c>
      <c r="B13" s="1" t="s">
        <v>323</v>
      </c>
      <c r="C13" s="4">
        <v>90</v>
      </c>
      <c r="D13" s="59">
        <v>47</v>
      </c>
    </row>
    <row r="14" spans="1:5" ht="16" x14ac:dyDescent="0.2">
      <c r="A14" s="2" t="s">
        <v>468</v>
      </c>
      <c r="B14" s="4" t="s">
        <v>324</v>
      </c>
      <c r="C14" s="4">
        <v>90</v>
      </c>
      <c r="D14" s="59">
        <v>47</v>
      </c>
    </row>
    <row r="15" spans="1:5" ht="16" x14ac:dyDescent="0.2">
      <c r="A15" s="2" t="s">
        <v>469</v>
      </c>
      <c r="B15" s="1" t="s">
        <v>325</v>
      </c>
      <c r="C15" s="4">
        <v>94</v>
      </c>
      <c r="D15" s="59">
        <v>47</v>
      </c>
    </row>
    <row r="16" spans="1:5" ht="16" x14ac:dyDescent="0.2">
      <c r="A16" s="3" t="s">
        <v>438</v>
      </c>
      <c r="B16" s="46" t="s">
        <v>408</v>
      </c>
      <c r="C16" s="4">
        <v>92</v>
      </c>
      <c r="D16" s="59">
        <v>46</v>
      </c>
    </row>
    <row r="17" spans="1:6" ht="16" x14ac:dyDescent="0.2">
      <c r="A17" s="43" t="s">
        <v>470</v>
      </c>
      <c r="B17" s="7" t="s">
        <v>407</v>
      </c>
      <c r="C17" s="7">
        <v>92</v>
      </c>
      <c r="D17" s="59">
        <v>47</v>
      </c>
    </row>
    <row r="18" spans="1:6" ht="18" customHeight="1" x14ac:dyDescent="0.25">
      <c r="A18" s="38" t="s">
        <v>215</v>
      </c>
      <c r="B18" s="40" t="s">
        <v>326</v>
      </c>
      <c r="C18" s="40" t="s">
        <v>197</v>
      </c>
      <c r="D18" s="40" t="s">
        <v>198</v>
      </c>
    </row>
    <row r="19" spans="1:6" ht="16" x14ac:dyDescent="0.2">
      <c r="A19" s="22" t="s">
        <v>440</v>
      </c>
      <c r="B19" s="27" t="s">
        <v>327</v>
      </c>
      <c r="C19" s="55">
        <v>92</v>
      </c>
      <c r="D19" s="59">
        <v>63</v>
      </c>
    </row>
    <row r="20" spans="1:6" ht="16" x14ac:dyDescent="0.2">
      <c r="A20" s="2" t="s">
        <v>441</v>
      </c>
      <c r="B20" s="23" t="s">
        <v>328</v>
      </c>
      <c r="C20" s="57">
        <v>95</v>
      </c>
      <c r="D20" s="59">
        <v>63</v>
      </c>
    </row>
    <row r="21" spans="1:6" ht="16" x14ac:dyDescent="0.2">
      <c r="A21" s="2" t="s">
        <v>442</v>
      </c>
      <c r="B21" s="10" t="s">
        <v>329</v>
      </c>
      <c r="C21" s="57">
        <v>95</v>
      </c>
      <c r="D21" s="59">
        <v>81</v>
      </c>
    </row>
    <row r="22" spans="1:6" ht="16" x14ac:dyDescent="0.2">
      <c r="A22" s="2" t="s">
        <v>443</v>
      </c>
      <c r="B22" s="10" t="s">
        <v>330</v>
      </c>
      <c r="C22" s="57">
        <v>93</v>
      </c>
      <c r="D22" s="59">
        <v>64</v>
      </c>
    </row>
    <row r="23" spans="1:6" ht="16" x14ac:dyDescent="0.2">
      <c r="A23" s="2" t="s">
        <v>444</v>
      </c>
      <c r="B23" s="10" t="s">
        <v>331</v>
      </c>
      <c r="C23" s="57">
        <v>92</v>
      </c>
      <c r="D23" s="59">
        <v>61</v>
      </c>
    </row>
    <row r="24" spans="1:6" ht="16" x14ac:dyDescent="0.2">
      <c r="A24" s="2" t="s">
        <v>471</v>
      </c>
      <c r="B24" s="10" t="s">
        <v>332</v>
      </c>
      <c r="C24" s="57">
        <v>92</v>
      </c>
      <c r="D24" s="59">
        <v>67</v>
      </c>
      <c r="F24" t="s">
        <v>333</v>
      </c>
    </row>
    <row r="25" spans="1:6" ht="16" x14ac:dyDescent="0.2">
      <c r="A25" s="2" t="s">
        <v>446</v>
      </c>
      <c r="B25" s="10" t="s">
        <v>334</v>
      </c>
      <c r="C25" s="57">
        <v>92</v>
      </c>
      <c r="D25" s="59">
        <v>67</v>
      </c>
    </row>
    <row r="26" spans="1:6" ht="16" x14ac:dyDescent="0.2">
      <c r="A26" s="2" t="s">
        <v>447</v>
      </c>
      <c r="B26" s="10" t="s">
        <v>332</v>
      </c>
      <c r="C26" s="57">
        <v>90</v>
      </c>
      <c r="D26" s="59">
        <v>69</v>
      </c>
    </row>
    <row r="27" spans="1:6" ht="16" x14ac:dyDescent="0.2">
      <c r="A27" s="2" t="s">
        <v>472</v>
      </c>
      <c r="B27" s="10" t="s">
        <v>335</v>
      </c>
      <c r="C27" s="57">
        <v>90</v>
      </c>
      <c r="D27" s="59">
        <v>65</v>
      </c>
    </row>
    <row r="28" spans="1:6" ht="16" x14ac:dyDescent="0.2">
      <c r="A28" s="2" t="s">
        <v>473</v>
      </c>
      <c r="B28" s="10" t="s">
        <v>336</v>
      </c>
      <c r="C28" s="57">
        <v>92</v>
      </c>
      <c r="D28" s="59">
        <v>69</v>
      </c>
    </row>
    <row r="29" spans="1:6" ht="18" customHeight="1" x14ac:dyDescent="0.25">
      <c r="A29" s="29" t="s">
        <v>226</v>
      </c>
      <c r="B29" s="14" t="s">
        <v>326</v>
      </c>
      <c r="C29" s="40" t="s">
        <v>197</v>
      </c>
      <c r="D29" s="40" t="s">
        <v>338</v>
      </c>
    </row>
    <row r="30" spans="1:6" ht="16" x14ac:dyDescent="0.2">
      <c r="A30" s="2" t="s">
        <v>450</v>
      </c>
      <c r="B30" s="4" t="s">
        <v>422</v>
      </c>
      <c r="C30" s="47">
        <v>68</v>
      </c>
      <c r="D30" s="24" t="s">
        <v>228</v>
      </c>
      <c r="E30" t="s">
        <v>201</v>
      </c>
    </row>
    <row r="31" spans="1:6" ht="16" x14ac:dyDescent="0.2">
      <c r="A31" s="2" t="s">
        <v>451</v>
      </c>
      <c r="B31" s="4" t="s">
        <v>422</v>
      </c>
      <c r="C31" s="47">
        <v>68</v>
      </c>
      <c r="D31" s="24" t="s">
        <v>228</v>
      </c>
      <c r="E31" t="s">
        <v>201</v>
      </c>
    </row>
    <row r="32" spans="1:6" ht="16" x14ac:dyDescent="0.2">
      <c r="A32" s="2" t="s">
        <v>452</v>
      </c>
      <c r="B32" s="4" t="s">
        <v>422</v>
      </c>
      <c r="C32" s="47">
        <v>68</v>
      </c>
      <c r="D32" s="24" t="s">
        <v>228</v>
      </c>
      <c r="E32" t="s">
        <v>201</v>
      </c>
    </row>
    <row r="33" spans="1:8" ht="17.5" customHeight="1" x14ac:dyDescent="0.2">
      <c r="A33" s="2" t="s">
        <v>441</v>
      </c>
      <c r="B33" s="47" t="s">
        <v>421</v>
      </c>
      <c r="C33" s="57">
        <v>92</v>
      </c>
      <c r="D33" s="24" t="s">
        <v>228</v>
      </c>
    </row>
    <row r="34" spans="1:8" ht="18" customHeight="1" x14ac:dyDescent="0.25">
      <c r="A34" s="29" t="s">
        <v>230</v>
      </c>
      <c r="B34" s="12" t="s">
        <v>337</v>
      </c>
      <c r="C34" s="40" t="s">
        <v>197</v>
      </c>
      <c r="D34" s="40" t="s">
        <v>198</v>
      </c>
    </row>
    <row r="35" spans="1:8" ht="16" x14ac:dyDescent="0.2">
      <c r="A35" s="2" t="s">
        <v>231</v>
      </c>
      <c r="B35" s="48">
        <v>26000</v>
      </c>
      <c r="C35" s="64">
        <v>90</v>
      </c>
      <c r="D35" s="59">
        <v>38</v>
      </c>
    </row>
    <row r="36" spans="1:8" ht="16" x14ac:dyDescent="0.2">
      <c r="A36" s="2" t="s">
        <v>232</v>
      </c>
      <c r="B36" s="4">
        <v>25400</v>
      </c>
      <c r="C36" s="64">
        <v>93</v>
      </c>
      <c r="D36" s="59">
        <v>41</v>
      </c>
    </row>
    <row r="37" spans="1:8" ht="15.5" customHeight="1" x14ac:dyDescent="0.2">
      <c r="A37" s="2" t="s">
        <v>453</v>
      </c>
      <c r="B37" s="4">
        <v>13300</v>
      </c>
      <c r="C37" s="60">
        <v>95</v>
      </c>
      <c r="D37" s="59">
        <v>41</v>
      </c>
      <c r="F37">
        <v>320000</v>
      </c>
      <c r="G37">
        <v>340000</v>
      </c>
      <c r="H37">
        <v>310000</v>
      </c>
    </row>
    <row r="38" spans="1:8" ht="16" x14ac:dyDescent="0.2">
      <c r="A38" s="2" t="s">
        <v>454</v>
      </c>
      <c r="B38" s="4">
        <v>3200</v>
      </c>
      <c r="C38" s="60">
        <v>95</v>
      </c>
      <c r="D38" s="59">
        <v>38</v>
      </c>
      <c r="F38">
        <f>F37*8*373/1000000</f>
        <v>954.88</v>
      </c>
      <c r="G38">
        <f>G37*8*84/1000000</f>
        <v>228.48</v>
      </c>
      <c r="H38">
        <f>H37*8*532/1000000</f>
        <v>1319.36</v>
      </c>
    </row>
    <row r="39" spans="1:8" ht="16" x14ac:dyDescent="0.2">
      <c r="A39" s="22" t="s">
        <v>233</v>
      </c>
      <c r="B39" s="15">
        <v>2700</v>
      </c>
      <c r="C39" s="15">
        <v>96</v>
      </c>
      <c r="D39" s="59">
        <v>69</v>
      </c>
    </row>
    <row r="40" spans="1:8" ht="16" x14ac:dyDescent="0.2">
      <c r="A40" s="22" t="s">
        <v>234</v>
      </c>
      <c r="B40" s="45">
        <v>1050</v>
      </c>
      <c r="C40" s="15">
        <v>92</v>
      </c>
      <c r="D40" s="59">
        <v>45</v>
      </c>
      <c r="F40">
        <v>210000</v>
      </c>
    </row>
    <row r="41" spans="1:8" ht="16" x14ac:dyDescent="0.2">
      <c r="A41" s="2" t="s">
        <v>455</v>
      </c>
      <c r="B41" s="4">
        <v>1810</v>
      </c>
      <c r="C41" s="4">
        <v>93</v>
      </c>
      <c r="D41" s="59">
        <v>68</v>
      </c>
      <c r="F41">
        <f>F40*8*373/1000000</f>
        <v>626.64</v>
      </c>
    </row>
    <row r="42" spans="1:8" ht="16" x14ac:dyDescent="0.2">
      <c r="A42" s="2" t="s">
        <v>456</v>
      </c>
      <c r="B42" s="1">
        <v>460</v>
      </c>
      <c r="C42" s="4">
        <v>93</v>
      </c>
      <c r="D42" s="59">
        <v>79</v>
      </c>
      <c r="F42">
        <v>315000</v>
      </c>
    </row>
    <row r="43" spans="1:8" ht="16" x14ac:dyDescent="0.2">
      <c r="A43" s="2" t="s">
        <v>457</v>
      </c>
      <c r="B43" s="4">
        <v>205</v>
      </c>
      <c r="C43" s="4">
        <v>90</v>
      </c>
      <c r="D43" s="59">
        <v>81</v>
      </c>
      <c r="F43">
        <f>F42*8*373/1000000</f>
        <v>939.96</v>
      </c>
    </row>
    <row r="44" spans="1:8" ht="18" customHeight="1" x14ac:dyDescent="0.25">
      <c r="A44" s="29" t="s">
        <v>235</v>
      </c>
      <c r="B44" s="12" t="s">
        <v>326</v>
      </c>
      <c r="C44" s="40" t="s">
        <v>197</v>
      </c>
      <c r="D44" s="40" t="s">
        <v>338</v>
      </c>
    </row>
    <row r="45" spans="1:8" ht="18.5" customHeight="1" x14ac:dyDescent="0.2">
      <c r="A45" s="13" t="s">
        <v>236</v>
      </c>
      <c r="B45" s="33" t="s">
        <v>339</v>
      </c>
      <c r="C45" s="24">
        <v>98</v>
      </c>
      <c r="D45" s="59" t="s">
        <v>238</v>
      </c>
    </row>
    <row r="46" spans="1:8" ht="17.5" customHeight="1" x14ac:dyDescent="0.2">
      <c r="A46" s="13" t="s">
        <v>239</v>
      </c>
      <c r="B46" s="49" t="s">
        <v>340</v>
      </c>
      <c r="C46" s="24">
        <v>98</v>
      </c>
      <c r="D46" s="59" t="s">
        <v>238</v>
      </c>
    </row>
    <row r="47" spans="1:8" ht="16" x14ac:dyDescent="0.2">
      <c r="A47" s="8" t="s">
        <v>241</v>
      </c>
      <c r="B47" s="23" t="s">
        <v>341</v>
      </c>
      <c r="C47" s="57">
        <v>96</v>
      </c>
      <c r="D47" s="59" t="s">
        <v>238</v>
      </c>
    </row>
    <row r="48" spans="1:8" ht="16" x14ac:dyDescent="0.2">
      <c r="A48" s="2" t="s">
        <v>243</v>
      </c>
      <c r="B48" s="49" t="s">
        <v>342</v>
      </c>
      <c r="C48" s="57">
        <v>96</v>
      </c>
      <c r="D48" s="59" t="s">
        <v>245</v>
      </c>
    </row>
    <row r="49" spans="1:4" ht="16" x14ac:dyDescent="0.2">
      <c r="A49" s="2" t="s">
        <v>246</v>
      </c>
      <c r="B49" s="23"/>
      <c r="C49" s="57"/>
      <c r="D49" s="59"/>
    </row>
    <row r="50" spans="1:4" ht="16" x14ac:dyDescent="0.2">
      <c r="A50" s="8" t="s">
        <v>247</v>
      </c>
      <c r="B50" s="23" t="s">
        <v>343</v>
      </c>
      <c r="C50" s="55">
        <v>98</v>
      </c>
      <c r="D50" s="59" t="s">
        <v>238</v>
      </c>
    </row>
    <row r="51" spans="1:4" ht="16.25" customHeight="1" x14ac:dyDescent="0.2">
      <c r="A51" s="8" t="s">
        <v>249</v>
      </c>
      <c r="B51" s="32" t="s">
        <v>344</v>
      </c>
      <c r="C51" s="57">
        <v>98</v>
      </c>
      <c r="D51" s="59" t="s">
        <v>238</v>
      </c>
    </row>
    <row r="52" spans="1:4" ht="15.5" customHeight="1" x14ac:dyDescent="0.2">
      <c r="A52" s="8" t="s">
        <v>251</v>
      </c>
      <c r="B52" s="1" t="s">
        <v>345</v>
      </c>
      <c r="C52" s="57">
        <v>99</v>
      </c>
      <c r="D52" s="59" t="s">
        <v>238</v>
      </c>
    </row>
    <row r="53" spans="1:4" ht="16.25" customHeight="1" x14ac:dyDescent="0.2">
      <c r="A53" s="8" t="s">
        <v>253</v>
      </c>
      <c r="B53" s="31" t="s">
        <v>346</v>
      </c>
      <c r="C53" s="65">
        <v>99</v>
      </c>
      <c r="D53" s="59" t="s">
        <v>238</v>
      </c>
    </row>
    <row r="54" spans="1:4" ht="16" x14ac:dyDescent="0.2">
      <c r="A54" s="18" t="s">
        <v>255</v>
      </c>
      <c r="B54" s="23" t="s">
        <v>347</v>
      </c>
      <c r="C54" s="66">
        <v>98</v>
      </c>
      <c r="D54" s="59" t="s">
        <v>257</v>
      </c>
    </row>
    <row r="55" spans="1:4" ht="16" x14ac:dyDescent="0.2">
      <c r="A55" s="19" t="s">
        <v>258</v>
      </c>
      <c r="B55" s="23" t="s">
        <v>348</v>
      </c>
      <c r="C55" s="66">
        <v>98</v>
      </c>
      <c r="D55" s="59" t="s">
        <v>260</v>
      </c>
    </row>
    <row r="56" spans="1:4" ht="17" customHeight="1" x14ac:dyDescent="0.2">
      <c r="A56" s="19" t="s">
        <v>261</v>
      </c>
      <c r="B56" s="23" t="s">
        <v>349</v>
      </c>
      <c r="C56" s="66">
        <v>96</v>
      </c>
      <c r="D56" s="59" t="s">
        <v>263</v>
      </c>
    </row>
    <row r="57" spans="1:4" ht="16" x14ac:dyDescent="0.2">
      <c r="A57" s="9" t="s">
        <v>264</v>
      </c>
      <c r="B57" s="25" t="s">
        <v>350</v>
      </c>
      <c r="C57" s="57">
        <v>96</v>
      </c>
      <c r="D57" s="59" t="s">
        <v>238</v>
      </c>
    </row>
    <row r="58" spans="1:4" ht="17.25" customHeight="1" x14ac:dyDescent="0.2">
      <c r="A58" s="2" t="s">
        <v>266</v>
      </c>
      <c r="B58" s="23" t="s">
        <v>481</v>
      </c>
      <c r="C58" s="55">
        <v>78</v>
      </c>
      <c r="D58" s="59" t="s">
        <v>484</v>
      </c>
    </row>
    <row r="59" spans="1:4" ht="16" x14ac:dyDescent="0.2">
      <c r="A59" s="2" t="s">
        <v>268</v>
      </c>
      <c r="B59" s="23" t="s">
        <v>480</v>
      </c>
      <c r="C59" s="57">
        <v>77</v>
      </c>
      <c r="D59" s="59" t="s">
        <v>484</v>
      </c>
    </row>
    <row r="60" spans="1:4" ht="19.5" customHeight="1" x14ac:dyDescent="0.2">
      <c r="A60" s="2" t="s">
        <v>269</v>
      </c>
      <c r="B60" s="23" t="s">
        <v>482</v>
      </c>
      <c r="C60" s="57">
        <v>79</v>
      </c>
      <c r="D60" s="59" t="s">
        <v>484</v>
      </c>
    </row>
    <row r="61" spans="1:4" ht="18.75" customHeight="1" x14ac:dyDescent="0.2">
      <c r="A61" s="2" t="s">
        <v>270</v>
      </c>
      <c r="B61" s="23"/>
      <c r="C61" s="57"/>
      <c r="D61" s="59" t="s">
        <v>484</v>
      </c>
    </row>
    <row r="62" spans="1:4" ht="17.5" customHeight="1" x14ac:dyDescent="0.2">
      <c r="A62" s="2" t="s">
        <v>271</v>
      </c>
      <c r="B62" s="32" t="s">
        <v>483</v>
      </c>
      <c r="C62" s="57">
        <v>88</v>
      </c>
      <c r="D62" s="59" t="s">
        <v>486</v>
      </c>
    </row>
    <row r="63" spans="1:4" ht="18" customHeight="1" x14ac:dyDescent="0.2">
      <c r="A63" s="2" t="s">
        <v>272</v>
      </c>
      <c r="B63" s="23"/>
      <c r="C63" s="57"/>
      <c r="D63" s="59"/>
    </row>
    <row r="64" spans="1:4" ht="18" customHeight="1" x14ac:dyDescent="0.2">
      <c r="A64" s="2" t="s">
        <v>273</v>
      </c>
      <c r="B64" s="53" t="s">
        <v>487</v>
      </c>
      <c r="C64" s="57">
        <v>79</v>
      </c>
      <c r="D64" s="59" t="s">
        <v>485</v>
      </c>
    </row>
    <row r="65" spans="1:4" ht="32.25" customHeight="1" x14ac:dyDescent="0.2">
      <c r="A65" s="3" t="s">
        <v>274</v>
      </c>
      <c r="B65" s="52"/>
      <c r="C65" s="57"/>
      <c r="D65" s="59"/>
    </row>
    <row r="66" spans="1:4" ht="18" customHeight="1" x14ac:dyDescent="0.25">
      <c r="A66" s="28" t="s">
        <v>275</v>
      </c>
      <c r="B66" s="30" t="s">
        <v>276</v>
      </c>
      <c r="C66" s="67" t="s">
        <v>197</v>
      </c>
      <c r="D66" s="67" t="s">
        <v>403</v>
      </c>
    </row>
    <row r="67" spans="1:4" ht="16" x14ac:dyDescent="0.2">
      <c r="A67" s="2" t="s">
        <v>277</v>
      </c>
      <c r="B67" s="10"/>
      <c r="C67" s="57"/>
      <c r="D67" s="57"/>
    </row>
    <row r="68" spans="1:4" ht="16" x14ac:dyDescent="0.2">
      <c r="A68" s="2" t="s">
        <v>278</v>
      </c>
      <c r="B68" s="10"/>
      <c r="C68" s="57"/>
      <c r="D68" s="57"/>
    </row>
    <row r="69" spans="1:4" ht="16" x14ac:dyDescent="0.2">
      <c r="A69" s="2" t="s">
        <v>279</v>
      </c>
      <c r="B69" s="10"/>
      <c r="C69" s="57"/>
      <c r="D69" s="57"/>
    </row>
    <row r="70" spans="1:4" ht="16" x14ac:dyDescent="0.2">
      <c r="A70" s="2" t="s">
        <v>280</v>
      </c>
      <c r="B70" s="10"/>
      <c r="C70" s="57"/>
      <c r="D70" s="57"/>
    </row>
    <row r="71" spans="1:4" ht="16" x14ac:dyDescent="0.2">
      <c r="A71" s="2" t="s">
        <v>281</v>
      </c>
      <c r="B71" s="10"/>
      <c r="C71" s="57"/>
      <c r="D71" s="57"/>
    </row>
    <row r="72" spans="1:4" ht="16" x14ac:dyDescent="0.2">
      <c r="A72" s="2" t="s">
        <v>282</v>
      </c>
      <c r="B72" s="10"/>
      <c r="C72" s="57"/>
      <c r="D72" s="57"/>
    </row>
    <row r="73" spans="1:4" ht="16" x14ac:dyDescent="0.2">
      <c r="A73" s="2" t="s">
        <v>283</v>
      </c>
      <c r="B73" s="10"/>
      <c r="C73" s="57"/>
      <c r="D73" s="57"/>
    </row>
    <row r="74" spans="1:4" ht="16" x14ac:dyDescent="0.2">
      <c r="A74" s="2" t="s">
        <v>284</v>
      </c>
      <c r="B74" s="10">
        <v>1536</v>
      </c>
      <c r="C74" s="57"/>
      <c r="D74" s="57"/>
    </row>
    <row r="75" spans="1:4" ht="16" x14ac:dyDescent="0.2">
      <c r="A75" s="2" t="s">
        <v>285</v>
      </c>
      <c r="B75" s="10"/>
      <c r="C75" s="57"/>
      <c r="D75" s="57"/>
    </row>
    <row r="76" spans="1:4" ht="16" x14ac:dyDescent="0.2">
      <c r="A76" s="2" t="s">
        <v>286</v>
      </c>
      <c r="B76" s="10"/>
      <c r="C76" s="57"/>
      <c r="D76" s="57"/>
    </row>
    <row r="77" spans="1:4" ht="16" x14ac:dyDescent="0.2">
      <c r="A77" s="2" t="s">
        <v>287</v>
      </c>
      <c r="B77" s="10"/>
      <c r="C77" s="57"/>
      <c r="D77" s="57"/>
    </row>
    <row r="78" spans="1:4" ht="16" x14ac:dyDescent="0.2">
      <c r="A78" s="2" t="s">
        <v>288</v>
      </c>
      <c r="B78" s="10"/>
      <c r="C78" s="57"/>
      <c r="D78" s="57"/>
    </row>
    <row r="79" spans="1:4" ht="16" x14ac:dyDescent="0.2">
      <c r="A79" s="2" t="s">
        <v>289</v>
      </c>
      <c r="B79" s="10"/>
      <c r="C79" s="57"/>
      <c r="D79" s="57"/>
    </row>
    <row r="80" spans="1:4" ht="16" x14ac:dyDescent="0.2">
      <c r="A80" s="2" t="s">
        <v>290</v>
      </c>
      <c r="B80" s="23"/>
      <c r="C80" s="57"/>
      <c r="D80" s="57"/>
    </row>
    <row r="81" spans="1:4" ht="16" x14ac:dyDescent="0.2">
      <c r="A81" s="43" t="s">
        <v>291</v>
      </c>
      <c r="B81" s="32"/>
      <c r="C81" s="57"/>
      <c r="D81" s="57"/>
    </row>
    <row r="82" spans="1:4" ht="16" x14ac:dyDescent="0.2">
      <c r="A82" s="51" t="s">
        <v>292</v>
      </c>
      <c r="B82" s="32"/>
      <c r="C82" s="57"/>
      <c r="D82" s="57"/>
    </row>
    <row r="83" spans="1:4" ht="16" x14ac:dyDescent="0.2">
      <c r="A83" s="22" t="s">
        <v>293</v>
      </c>
      <c r="B83" s="23"/>
      <c r="C83" s="57"/>
      <c r="D83" s="57"/>
    </row>
    <row r="84" spans="1:4" ht="16" x14ac:dyDescent="0.2">
      <c r="A84" s="2" t="s">
        <v>294</v>
      </c>
      <c r="B84" s="10"/>
      <c r="C84" s="57"/>
      <c r="D84" s="57"/>
    </row>
    <row r="85" spans="1:4" ht="16" x14ac:dyDescent="0.2">
      <c r="A85" s="2" t="s">
        <v>295</v>
      </c>
      <c r="B85" s="10"/>
      <c r="C85" s="57"/>
      <c r="D85" s="57"/>
    </row>
    <row r="86" spans="1:4" ht="16" x14ac:dyDescent="0.2">
      <c r="A86" s="2" t="s">
        <v>296</v>
      </c>
      <c r="B86" s="10" t="s">
        <v>351</v>
      </c>
      <c r="C86" s="10">
        <v>10</v>
      </c>
      <c r="D86" s="10">
        <v>84</v>
      </c>
    </row>
    <row r="87" spans="1:4" ht="16" x14ac:dyDescent="0.2">
      <c r="A87" s="2" t="s">
        <v>297</v>
      </c>
      <c r="B87" s="10" t="s">
        <v>352</v>
      </c>
      <c r="C87" s="10">
        <v>10</v>
      </c>
      <c r="D87" s="10">
        <v>84</v>
      </c>
    </row>
    <row r="88" spans="1:4" ht="16" x14ac:dyDescent="0.2">
      <c r="A88" s="2" t="s">
        <v>298</v>
      </c>
      <c r="B88" s="10"/>
      <c r="C88" s="57"/>
      <c r="D88" s="57"/>
    </row>
    <row r="89" spans="1:4" ht="16" x14ac:dyDescent="0.2">
      <c r="A89" s="2" t="s">
        <v>299</v>
      </c>
      <c r="B89" s="10"/>
      <c r="C89" s="57"/>
      <c r="D89" s="57"/>
    </row>
    <row r="90" spans="1:4" ht="16" x14ac:dyDescent="0.2">
      <c r="A90" s="2" t="s">
        <v>300</v>
      </c>
      <c r="B90" s="10"/>
      <c r="C90" s="57"/>
      <c r="D90" s="57"/>
    </row>
    <row r="91" spans="1:4" ht="16" x14ac:dyDescent="0.2">
      <c r="A91" s="2" t="s">
        <v>301</v>
      </c>
      <c r="B91" s="10">
        <v>96000</v>
      </c>
      <c r="C91" s="57">
        <v>50</v>
      </c>
      <c r="D91" s="57">
        <v>35</v>
      </c>
    </row>
    <row r="92" spans="1:4" ht="16" x14ac:dyDescent="0.2">
      <c r="A92" s="2" t="s">
        <v>458</v>
      </c>
      <c r="B92" s="10">
        <v>96000</v>
      </c>
      <c r="C92" s="57">
        <v>55</v>
      </c>
      <c r="D92" s="57">
        <v>35</v>
      </c>
    </row>
    <row r="93" spans="1:4" ht="16" x14ac:dyDescent="0.2">
      <c r="A93" s="2" t="s">
        <v>302</v>
      </c>
      <c r="B93" s="52" t="s">
        <v>423</v>
      </c>
      <c r="C93" s="57"/>
      <c r="D93" s="71"/>
    </row>
    <row r="94" spans="1:4" ht="16" x14ac:dyDescent="0.2">
      <c r="A94" s="2" t="s">
        <v>353</v>
      </c>
      <c r="B94" s="73"/>
      <c r="C94" s="56"/>
      <c r="D94" s="71"/>
    </row>
    <row r="95" spans="1:4" ht="16" x14ac:dyDescent="0.2">
      <c r="A95" s="2" t="s">
        <v>354</v>
      </c>
      <c r="B95" s="26"/>
      <c r="C95" s="56"/>
      <c r="D95" s="57"/>
    </row>
    <row r="96" spans="1:4" ht="16" x14ac:dyDescent="0.2">
      <c r="A96" s="8" t="s">
        <v>305</v>
      </c>
      <c r="B96" s="35"/>
      <c r="C96" s="10"/>
      <c r="D96" s="57"/>
    </row>
    <row r="97" spans="1:9" ht="16" x14ac:dyDescent="0.2">
      <c r="A97" s="2" t="s">
        <v>306</v>
      </c>
      <c r="B97" s="10"/>
      <c r="C97" s="10"/>
      <c r="D97" s="57"/>
    </row>
    <row r="98" spans="1:9" ht="16" x14ac:dyDescent="0.2">
      <c r="A98" s="2" t="s">
        <v>308</v>
      </c>
      <c r="B98" s="10">
        <v>1200</v>
      </c>
      <c r="C98" s="10">
        <v>97</v>
      </c>
      <c r="D98" s="57">
        <v>55</v>
      </c>
    </row>
    <row r="99" spans="1:9" ht="16" x14ac:dyDescent="0.2">
      <c r="A99" s="2" t="s">
        <v>309</v>
      </c>
      <c r="B99" s="10"/>
      <c r="C99" s="10"/>
      <c r="D99" s="57"/>
    </row>
    <row r="100" spans="1:9" ht="16" x14ac:dyDescent="0.2">
      <c r="A100" s="2" t="s">
        <v>310</v>
      </c>
      <c r="B100" s="10"/>
      <c r="C100" s="10"/>
      <c r="D100" s="57"/>
    </row>
    <row r="101" spans="1:9" ht="16" x14ac:dyDescent="0.2">
      <c r="A101" s="2" t="s">
        <v>311</v>
      </c>
      <c r="B101" s="10"/>
      <c r="C101" s="10"/>
      <c r="D101" s="57"/>
    </row>
    <row r="102" spans="1:9" ht="16" x14ac:dyDescent="0.2">
      <c r="A102" s="2" t="s">
        <v>312</v>
      </c>
      <c r="B102" s="10"/>
      <c r="C102" s="10"/>
      <c r="D102" s="57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  <row r="106" spans="1:9" ht="15" customHeight="1" x14ac:dyDescent="0.2">
      <c r="H106" s="11"/>
      <c r="I106" s="11"/>
    </row>
  </sheetData>
  <autoFilter ref="A1:F102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H32"/>
  <sheetViews>
    <sheetView topLeftCell="A12" workbookViewId="0">
      <selection activeCell="D31" sqref="D31"/>
    </sheetView>
  </sheetViews>
  <sheetFormatPr baseColWidth="10" defaultColWidth="62.5" defaultRowHeight="24" x14ac:dyDescent="0.3"/>
  <cols>
    <col min="1" max="1" width="162.5" style="86" customWidth="1"/>
    <col min="2" max="2" width="40.33203125" style="86" customWidth="1"/>
    <col min="3" max="3" width="29.1640625" style="86" customWidth="1"/>
    <col min="4" max="4" width="26" style="86" customWidth="1"/>
    <col min="5" max="5" width="47.6640625" style="86" customWidth="1"/>
    <col min="6" max="6" width="26.5" style="86" customWidth="1"/>
    <col min="7" max="7" width="33.83203125" style="86" customWidth="1"/>
    <col min="8" max="16384" width="62.5" style="86"/>
  </cols>
  <sheetData>
    <row r="1" spans="1:7" ht="75" x14ac:dyDescent="0.3">
      <c r="A1" s="82" t="s">
        <v>409</v>
      </c>
      <c r="B1" s="83" t="s">
        <v>193</v>
      </c>
      <c r="C1" s="84"/>
      <c r="D1" s="85" t="s">
        <v>194</v>
      </c>
      <c r="E1" s="83" t="s">
        <v>314</v>
      </c>
      <c r="F1" s="84"/>
      <c r="G1" s="85" t="s">
        <v>194</v>
      </c>
    </row>
    <row r="2" spans="1:7" ht="50" x14ac:dyDescent="0.3">
      <c r="A2" s="87" t="s">
        <v>410</v>
      </c>
      <c r="B2" s="88" t="s">
        <v>326</v>
      </c>
      <c r="C2" s="89" t="s">
        <v>197</v>
      </c>
      <c r="D2" s="88" t="s">
        <v>412</v>
      </c>
      <c r="E2" s="88" t="s">
        <v>196</v>
      </c>
      <c r="F2" s="89" t="s">
        <v>197</v>
      </c>
      <c r="G2" s="89" t="s">
        <v>198</v>
      </c>
    </row>
    <row r="3" spans="1:7" ht="25" x14ac:dyDescent="0.3">
      <c r="A3" s="90" t="s">
        <v>459</v>
      </c>
      <c r="B3" s="91" t="s">
        <v>413</v>
      </c>
      <c r="C3" s="92">
        <v>94</v>
      </c>
      <c r="D3" s="93">
        <v>40</v>
      </c>
      <c r="E3" s="91" t="s">
        <v>417</v>
      </c>
      <c r="F3" s="92">
        <v>93</v>
      </c>
      <c r="G3" s="93">
        <v>59</v>
      </c>
    </row>
    <row r="4" spans="1:7" ht="25" x14ac:dyDescent="0.3">
      <c r="A4" s="90" t="s">
        <v>460</v>
      </c>
      <c r="B4" s="93" t="s">
        <v>411</v>
      </c>
      <c r="C4" s="94">
        <v>95</v>
      </c>
      <c r="D4" s="95">
        <v>40</v>
      </c>
      <c r="E4" s="93" t="s">
        <v>416</v>
      </c>
      <c r="F4" s="94">
        <v>94</v>
      </c>
      <c r="G4" s="95">
        <v>59</v>
      </c>
    </row>
    <row r="5" spans="1:7" ht="25" x14ac:dyDescent="0.3">
      <c r="A5" s="90" t="s">
        <v>461</v>
      </c>
      <c r="B5" s="96" t="s">
        <v>217</v>
      </c>
      <c r="C5" s="97">
        <v>94</v>
      </c>
      <c r="D5" s="98">
        <v>60</v>
      </c>
      <c r="E5" s="96" t="s">
        <v>418</v>
      </c>
      <c r="F5" s="97">
        <v>91</v>
      </c>
      <c r="G5" s="98">
        <v>59</v>
      </c>
    </row>
    <row r="6" spans="1:7" ht="25" x14ac:dyDescent="0.3">
      <c r="A6" s="99" t="s">
        <v>236</v>
      </c>
      <c r="B6" s="93" t="s">
        <v>237</v>
      </c>
      <c r="C6" s="100">
        <v>99</v>
      </c>
      <c r="D6" s="101" t="s">
        <v>238</v>
      </c>
      <c r="E6" s="93" t="s">
        <v>339</v>
      </c>
      <c r="F6" s="93">
        <v>98</v>
      </c>
      <c r="G6" s="101" t="s">
        <v>238</v>
      </c>
    </row>
    <row r="7" spans="1:7" ht="25" x14ac:dyDescent="0.3">
      <c r="A7" s="99" t="s">
        <v>239</v>
      </c>
      <c r="B7" s="93" t="s">
        <v>240</v>
      </c>
      <c r="C7" s="102">
        <v>99</v>
      </c>
      <c r="D7" s="101" t="s">
        <v>238</v>
      </c>
      <c r="E7" s="93" t="s">
        <v>340</v>
      </c>
      <c r="F7" s="93">
        <v>98</v>
      </c>
      <c r="G7" s="101" t="s">
        <v>238</v>
      </c>
    </row>
    <row r="8" spans="1:7" ht="25" x14ac:dyDescent="0.3">
      <c r="A8" s="103" t="s">
        <v>241</v>
      </c>
      <c r="B8" s="96" t="s">
        <v>242</v>
      </c>
      <c r="C8" s="97">
        <v>90</v>
      </c>
      <c r="D8" s="98" t="s">
        <v>238</v>
      </c>
      <c r="E8" s="93" t="s">
        <v>341</v>
      </c>
      <c r="F8" s="93">
        <v>96</v>
      </c>
      <c r="G8" s="98" t="s">
        <v>238</v>
      </c>
    </row>
    <row r="9" spans="1:7" ht="28.5" customHeight="1" x14ac:dyDescent="0.3">
      <c r="A9" s="90" t="s">
        <v>268</v>
      </c>
      <c r="B9" s="93"/>
      <c r="C9" s="97"/>
      <c r="D9" s="104" t="s">
        <v>267</v>
      </c>
      <c r="E9" s="93"/>
      <c r="F9" s="97"/>
      <c r="G9" s="104" t="s">
        <v>267</v>
      </c>
    </row>
    <row r="12" spans="1:7" ht="75" x14ac:dyDescent="0.3">
      <c r="A12" s="82" t="s">
        <v>414</v>
      </c>
      <c r="B12" s="83" t="s">
        <v>193</v>
      </c>
      <c r="C12" s="84"/>
      <c r="D12" s="85" t="s">
        <v>194</v>
      </c>
      <c r="E12" s="83" t="s">
        <v>314</v>
      </c>
      <c r="F12" s="84"/>
      <c r="G12" s="85" t="s">
        <v>194</v>
      </c>
    </row>
    <row r="13" spans="1:7" ht="50" x14ac:dyDescent="0.3">
      <c r="A13" s="87" t="s">
        <v>410</v>
      </c>
      <c r="B13" s="88" t="s">
        <v>326</v>
      </c>
      <c r="C13" s="89" t="s">
        <v>197</v>
      </c>
      <c r="D13" s="88" t="s">
        <v>412</v>
      </c>
      <c r="E13" s="88" t="s">
        <v>196</v>
      </c>
      <c r="F13" s="89" t="s">
        <v>197</v>
      </c>
      <c r="G13" s="89" t="s">
        <v>198</v>
      </c>
    </row>
    <row r="14" spans="1:7" ht="25" x14ac:dyDescent="0.3">
      <c r="A14" s="90" t="s">
        <v>459</v>
      </c>
      <c r="B14" s="91" t="s">
        <v>415</v>
      </c>
      <c r="C14" s="92">
        <v>95</v>
      </c>
      <c r="D14" s="93">
        <v>61</v>
      </c>
      <c r="E14" s="91" t="s">
        <v>417</v>
      </c>
      <c r="F14" s="92">
        <v>93</v>
      </c>
      <c r="G14" s="93">
        <v>59</v>
      </c>
    </row>
    <row r="15" spans="1:7" ht="25" x14ac:dyDescent="0.3">
      <c r="A15" s="90" t="s">
        <v>460</v>
      </c>
      <c r="B15" s="93" t="s">
        <v>411</v>
      </c>
      <c r="C15" s="94">
        <v>95</v>
      </c>
      <c r="D15" s="95">
        <v>61</v>
      </c>
      <c r="E15" s="93" t="s">
        <v>416</v>
      </c>
      <c r="F15" s="94">
        <v>94</v>
      </c>
      <c r="G15" s="95">
        <v>59</v>
      </c>
    </row>
    <row r="16" spans="1:7" ht="25" x14ac:dyDescent="0.3">
      <c r="A16" s="90" t="s">
        <v>461</v>
      </c>
      <c r="B16" s="96" t="s">
        <v>217</v>
      </c>
      <c r="C16" s="97">
        <v>94</v>
      </c>
      <c r="D16" s="98">
        <v>60</v>
      </c>
      <c r="E16" s="96" t="s">
        <v>419</v>
      </c>
      <c r="F16" s="97">
        <v>91</v>
      </c>
      <c r="G16" s="98">
        <v>59</v>
      </c>
    </row>
    <row r="17" spans="1:8" ht="25" x14ac:dyDescent="0.3">
      <c r="A17" s="99" t="s">
        <v>236</v>
      </c>
      <c r="B17" s="93" t="s">
        <v>237</v>
      </c>
      <c r="C17" s="100">
        <v>99</v>
      </c>
      <c r="D17" s="101" t="s">
        <v>238</v>
      </c>
      <c r="E17" s="93" t="s">
        <v>339</v>
      </c>
      <c r="F17" s="93">
        <v>98</v>
      </c>
      <c r="G17" s="101" t="s">
        <v>238</v>
      </c>
    </row>
    <row r="18" spans="1:8" ht="25" x14ac:dyDescent="0.3">
      <c r="A18" s="99" t="s">
        <v>239</v>
      </c>
      <c r="B18" s="93" t="s">
        <v>240</v>
      </c>
      <c r="C18" s="102">
        <v>99</v>
      </c>
      <c r="D18" s="101" t="s">
        <v>238</v>
      </c>
      <c r="E18" s="93" t="s">
        <v>340</v>
      </c>
      <c r="F18" s="93">
        <v>98</v>
      </c>
      <c r="G18" s="101" t="s">
        <v>238</v>
      </c>
    </row>
    <row r="19" spans="1:8" ht="25" x14ac:dyDescent="0.3">
      <c r="A19" s="103" t="s">
        <v>241</v>
      </c>
      <c r="B19" s="96" t="s">
        <v>242</v>
      </c>
      <c r="C19" s="97">
        <v>90</v>
      </c>
      <c r="D19" s="98" t="s">
        <v>238</v>
      </c>
      <c r="E19" s="93" t="s">
        <v>341</v>
      </c>
      <c r="F19" s="93">
        <v>96</v>
      </c>
      <c r="G19" s="98" t="s">
        <v>238</v>
      </c>
    </row>
    <row r="20" spans="1:8" ht="25" x14ac:dyDescent="0.3">
      <c r="A20" s="90" t="s">
        <v>268</v>
      </c>
      <c r="B20" s="93"/>
      <c r="C20" s="97"/>
      <c r="D20" s="104" t="s">
        <v>267</v>
      </c>
      <c r="E20" s="93"/>
      <c r="F20" s="97"/>
      <c r="G20" s="104" t="s">
        <v>267</v>
      </c>
    </row>
    <row r="23" spans="1:8" ht="75" x14ac:dyDescent="0.3">
      <c r="A23" s="105" t="s">
        <v>474</v>
      </c>
      <c r="B23" s="83" t="s">
        <v>193</v>
      </c>
      <c r="C23" s="84"/>
      <c r="D23" s="85" t="s">
        <v>194</v>
      </c>
      <c r="E23" s="83" t="s">
        <v>314</v>
      </c>
      <c r="F23" s="84"/>
      <c r="G23" s="85" t="s">
        <v>194</v>
      </c>
    </row>
    <row r="24" spans="1:8" ht="50" x14ac:dyDescent="0.3">
      <c r="A24" s="87" t="s">
        <v>410</v>
      </c>
      <c r="B24" s="88" t="s">
        <v>326</v>
      </c>
      <c r="C24" s="89" t="s">
        <v>197</v>
      </c>
      <c r="D24" s="88" t="s">
        <v>412</v>
      </c>
      <c r="E24" s="88" t="s">
        <v>326</v>
      </c>
      <c r="F24" s="89" t="s">
        <v>197</v>
      </c>
      <c r="G24" s="88" t="s">
        <v>412</v>
      </c>
    </row>
    <row r="25" spans="1:8" ht="25" x14ac:dyDescent="0.3">
      <c r="A25" s="90" t="s">
        <v>459</v>
      </c>
      <c r="B25" s="91" t="s">
        <v>475</v>
      </c>
      <c r="C25" s="92">
        <v>94</v>
      </c>
      <c r="D25" s="93">
        <v>40</v>
      </c>
      <c r="E25" s="91"/>
      <c r="F25" s="92"/>
      <c r="G25" s="93"/>
    </row>
    <row r="26" spans="1:8" ht="25" x14ac:dyDescent="0.3">
      <c r="A26" s="90" t="s">
        <v>460</v>
      </c>
      <c r="B26" s="93" t="s">
        <v>411</v>
      </c>
      <c r="C26" s="94">
        <v>95</v>
      </c>
      <c r="D26" s="95">
        <v>38</v>
      </c>
      <c r="E26" s="93"/>
      <c r="F26" s="94"/>
      <c r="G26" s="95"/>
    </row>
    <row r="27" spans="1:8" ht="25" x14ac:dyDescent="0.3">
      <c r="A27" s="90" t="s">
        <v>461</v>
      </c>
      <c r="B27" s="96" t="s">
        <v>476</v>
      </c>
      <c r="C27" s="97">
        <v>75</v>
      </c>
      <c r="D27" s="98">
        <v>56</v>
      </c>
      <c r="E27" s="96"/>
      <c r="F27" s="97"/>
      <c r="G27" s="98"/>
    </row>
    <row r="28" spans="1:8" ht="25" x14ac:dyDescent="0.3">
      <c r="A28" s="99" t="s">
        <v>236</v>
      </c>
      <c r="B28" s="93" t="s">
        <v>237</v>
      </c>
      <c r="C28" s="100">
        <v>99</v>
      </c>
      <c r="D28" s="101" t="s">
        <v>238</v>
      </c>
      <c r="E28" s="93"/>
      <c r="F28" s="100"/>
      <c r="G28" s="101" t="s">
        <v>238</v>
      </c>
    </row>
    <row r="29" spans="1:8" ht="25" x14ac:dyDescent="0.3">
      <c r="A29" s="99" t="s">
        <v>239</v>
      </c>
      <c r="B29" s="93" t="s">
        <v>240</v>
      </c>
      <c r="C29" s="102">
        <v>99</v>
      </c>
      <c r="D29" s="101" t="s">
        <v>238</v>
      </c>
      <c r="E29" s="93"/>
      <c r="F29" s="102"/>
      <c r="G29" s="101" t="s">
        <v>238</v>
      </c>
    </row>
    <row r="30" spans="1:8" ht="25" x14ac:dyDescent="0.3">
      <c r="A30" s="103" t="s">
        <v>241</v>
      </c>
      <c r="B30" s="96" t="s">
        <v>242</v>
      </c>
      <c r="C30" s="97">
        <v>90</v>
      </c>
      <c r="D30" s="101" t="s">
        <v>238</v>
      </c>
      <c r="E30" s="96"/>
      <c r="F30" s="97"/>
      <c r="G30" s="101" t="s">
        <v>238</v>
      </c>
    </row>
    <row r="31" spans="1:8" ht="25" x14ac:dyDescent="0.3">
      <c r="A31" s="90" t="s">
        <v>268</v>
      </c>
      <c r="B31" s="107"/>
      <c r="C31" s="108"/>
      <c r="D31" s="104" t="s">
        <v>267</v>
      </c>
      <c r="E31" s="107"/>
      <c r="F31" s="108"/>
      <c r="G31" s="104" t="s">
        <v>267</v>
      </c>
    </row>
    <row r="32" spans="1:8" ht="25" x14ac:dyDescent="0.3">
      <c r="A32" s="106" t="s">
        <v>477</v>
      </c>
      <c r="B32" s="109" t="s">
        <v>478</v>
      </c>
      <c r="C32" s="109">
        <v>75</v>
      </c>
      <c r="D32" s="109">
        <v>60</v>
      </c>
      <c r="E32" s="109"/>
      <c r="F32" s="109"/>
      <c r="G32" s="109"/>
      <c r="H32" s="86" t="s">
        <v>479</v>
      </c>
    </row>
  </sheetData>
  <mergeCells count="6"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355</v>
      </c>
      <c r="B1" s="37" t="s">
        <v>314</v>
      </c>
      <c r="C1" s="36" t="s">
        <v>194</v>
      </c>
    </row>
    <row r="2" spans="1:3" ht="19" x14ac:dyDescent="0.25">
      <c r="A2" s="38" t="s">
        <v>195</v>
      </c>
      <c r="B2" s="40" t="s">
        <v>326</v>
      </c>
      <c r="C2" s="40"/>
    </row>
    <row r="3" spans="1:3" ht="19" hidden="1" x14ac:dyDescent="0.2">
      <c r="A3" s="22" t="s">
        <v>356</v>
      </c>
      <c r="B3" s="15"/>
      <c r="C3" s="42"/>
    </row>
    <row r="4" spans="1:3" ht="16" hidden="1" x14ac:dyDescent="0.2">
      <c r="A4" s="2" t="s">
        <v>462</v>
      </c>
      <c r="B4" s="15"/>
      <c r="C4" s="4"/>
    </row>
    <row r="5" spans="1:3" ht="16" hidden="1" x14ac:dyDescent="0.2">
      <c r="A5" s="2" t="s">
        <v>463</v>
      </c>
      <c r="B5" s="1"/>
      <c r="C5" s="59"/>
    </row>
    <row r="6" spans="1:3" ht="16" hidden="1" x14ac:dyDescent="0.2">
      <c r="A6" s="2" t="s">
        <v>464</v>
      </c>
      <c r="B6" s="4"/>
      <c r="C6" s="4"/>
    </row>
    <row r="7" spans="1:3" ht="16" hidden="1" x14ac:dyDescent="0.2">
      <c r="A7" s="2" t="s">
        <v>427</v>
      </c>
      <c r="B7" s="4"/>
      <c r="C7" s="4"/>
    </row>
    <row r="8" spans="1:3" ht="16" x14ac:dyDescent="0.2">
      <c r="A8" s="2" t="s">
        <v>428</v>
      </c>
      <c r="B8" s="1" t="s">
        <v>357</v>
      </c>
      <c r="C8" s="60" t="s">
        <v>358</v>
      </c>
    </row>
    <row r="9" spans="1:3" ht="16" x14ac:dyDescent="0.2">
      <c r="A9" s="2" t="s">
        <v>429</v>
      </c>
      <c r="B9" s="4" t="s">
        <v>359</v>
      </c>
      <c r="C9" s="59" t="s">
        <v>360</v>
      </c>
    </row>
    <row r="10" spans="1:3" ht="16" hidden="1" x14ac:dyDescent="0.2">
      <c r="A10" s="2" t="s">
        <v>430</v>
      </c>
      <c r="B10" s="4"/>
      <c r="C10" s="4"/>
    </row>
    <row r="11" spans="1:3" ht="16" hidden="1" x14ac:dyDescent="0.2">
      <c r="A11" s="2" t="s">
        <v>431</v>
      </c>
      <c r="B11" s="4"/>
      <c r="C11" s="59"/>
    </row>
    <row r="12" spans="1:3" ht="16" hidden="1" x14ac:dyDescent="0.2">
      <c r="A12" s="2" t="s">
        <v>432</v>
      </c>
      <c r="B12" s="4"/>
      <c r="C12" s="4"/>
    </row>
    <row r="13" spans="1:3" ht="16" hidden="1" x14ac:dyDescent="0.2">
      <c r="A13" s="2" t="s">
        <v>434</v>
      </c>
      <c r="B13" s="1"/>
      <c r="C13" s="59"/>
    </row>
    <row r="14" spans="1:3" ht="16" hidden="1" x14ac:dyDescent="0.2">
      <c r="A14" s="2" t="s">
        <v>465</v>
      </c>
      <c r="B14" s="10"/>
      <c r="C14" s="4"/>
    </row>
    <row r="15" spans="1:3" ht="16" hidden="1" x14ac:dyDescent="0.2">
      <c r="A15" s="2" t="s">
        <v>466</v>
      </c>
      <c r="B15" s="4"/>
      <c r="C15" s="4"/>
    </row>
    <row r="16" spans="1:3" ht="16" hidden="1" x14ac:dyDescent="0.2">
      <c r="A16" s="2" t="s">
        <v>435</v>
      </c>
      <c r="B16" s="1"/>
      <c r="C16" s="4"/>
    </row>
    <row r="17" spans="1:3" ht="16" hidden="1" x14ac:dyDescent="0.2">
      <c r="A17" s="2" t="s">
        <v>436</v>
      </c>
      <c r="B17" s="4"/>
      <c r="C17" s="4"/>
    </row>
    <row r="18" spans="1:3" ht="16" hidden="1" x14ac:dyDescent="0.2">
      <c r="A18" s="2" t="s">
        <v>437</v>
      </c>
      <c r="B18" s="1"/>
      <c r="C18" s="4"/>
    </row>
    <row r="19" spans="1:3" ht="16" hidden="1" x14ac:dyDescent="0.2">
      <c r="A19" s="3" t="s">
        <v>438</v>
      </c>
      <c r="B19" s="46"/>
      <c r="C19" s="4"/>
    </row>
    <row r="20" spans="1:3" ht="16" hidden="1" x14ac:dyDescent="0.2">
      <c r="A20" s="43" t="s">
        <v>439</v>
      </c>
      <c r="B20" s="7"/>
      <c r="C20" s="7"/>
    </row>
    <row r="21" spans="1:3" ht="19" x14ac:dyDescent="0.25">
      <c r="A21" s="38" t="s">
        <v>215</v>
      </c>
      <c r="B21" s="40"/>
      <c r="C21" s="61"/>
    </row>
    <row r="22" spans="1:3" ht="16" hidden="1" x14ac:dyDescent="0.2">
      <c r="A22" s="22" t="s">
        <v>440</v>
      </c>
      <c r="B22" s="27"/>
      <c r="C22" s="55"/>
    </row>
    <row r="23" spans="1:3" ht="16" x14ac:dyDescent="0.2">
      <c r="A23" s="2" t="s">
        <v>441</v>
      </c>
      <c r="B23" s="23" t="s">
        <v>361</v>
      </c>
      <c r="C23" s="57" t="s">
        <v>362</v>
      </c>
    </row>
    <row r="24" spans="1:3" ht="16" hidden="1" x14ac:dyDescent="0.2">
      <c r="A24" s="2" t="s">
        <v>442</v>
      </c>
      <c r="B24" s="10"/>
      <c r="C24" s="57"/>
    </row>
    <row r="25" spans="1:3" ht="16" x14ac:dyDescent="0.2">
      <c r="A25" s="2" t="s">
        <v>443</v>
      </c>
      <c r="B25" s="10" t="s">
        <v>363</v>
      </c>
      <c r="C25" s="57" t="s">
        <v>364</v>
      </c>
    </row>
    <row r="26" spans="1:3" ht="16" x14ac:dyDescent="0.2">
      <c r="A26" s="2" t="s">
        <v>444</v>
      </c>
      <c r="B26" s="10" t="s">
        <v>365</v>
      </c>
      <c r="C26" s="57" t="s">
        <v>366</v>
      </c>
    </row>
    <row r="27" spans="1:3" ht="16" hidden="1" x14ac:dyDescent="0.2">
      <c r="A27" s="2" t="s">
        <v>445</v>
      </c>
      <c r="B27" s="10"/>
      <c r="C27" s="57"/>
    </row>
    <row r="28" spans="1:3" ht="16" hidden="1" x14ac:dyDescent="0.2">
      <c r="A28" s="2" t="s">
        <v>446</v>
      </c>
      <c r="B28" s="10"/>
      <c r="C28" s="57"/>
    </row>
    <row r="29" spans="1:3" ht="16" hidden="1" x14ac:dyDescent="0.2">
      <c r="A29" s="2" t="s">
        <v>447</v>
      </c>
      <c r="B29" s="10"/>
      <c r="C29" s="57"/>
    </row>
    <row r="30" spans="1:3" ht="16" hidden="1" x14ac:dyDescent="0.2">
      <c r="A30" s="2" t="s">
        <v>448</v>
      </c>
      <c r="B30" s="10"/>
      <c r="C30" s="57"/>
    </row>
    <row r="31" spans="1:3" ht="16" hidden="1" x14ac:dyDescent="0.2">
      <c r="A31" s="2" t="s">
        <v>449</v>
      </c>
      <c r="B31" s="10"/>
      <c r="C31" s="57"/>
    </row>
    <row r="32" spans="1:3" ht="19" hidden="1" x14ac:dyDescent="0.25">
      <c r="A32" s="29" t="s">
        <v>226</v>
      </c>
      <c r="B32" s="14"/>
      <c r="C32" s="62"/>
    </row>
    <row r="33" spans="1:3" ht="16" hidden="1" x14ac:dyDescent="0.2">
      <c r="A33" s="2" t="s">
        <v>450</v>
      </c>
      <c r="B33" s="47"/>
      <c r="C33" s="57"/>
    </row>
    <row r="34" spans="1:3" ht="16" hidden="1" x14ac:dyDescent="0.2">
      <c r="A34" s="2" t="s">
        <v>451</v>
      </c>
      <c r="B34" s="47"/>
      <c r="C34" s="57"/>
    </row>
    <row r="35" spans="1:3" ht="16" hidden="1" x14ac:dyDescent="0.2">
      <c r="A35" s="2" t="s">
        <v>452</v>
      </c>
      <c r="B35" s="47"/>
      <c r="C35" s="57"/>
    </row>
    <row r="36" spans="1:3" ht="16" hidden="1" x14ac:dyDescent="0.2">
      <c r="A36" s="2" t="s">
        <v>441</v>
      </c>
      <c r="B36" s="47"/>
      <c r="C36" s="54"/>
    </row>
    <row r="37" spans="1:3" ht="19" x14ac:dyDescent="0.25">
      <c r="A37" s="29" t="s">
        <v>230</v>
      </c>
      <c r="B37" s="12"/>
      <c r="C37" s="63"/>
    </row>
    <row r="38" spans="1:3" ht="16" hidden="1" x14ac:dyDescent="0.2">
      <c r="A38" s="2" t="s">
        <v>231</v>
      </c>
      <c r="B38" s="48"/>
      <c r="C38" s="64"/>
    </row>
    <row r="39" spans="1:3" ht="16" hidden="1" x14ac:dyDescent="0.2">
      <c r="A39" s="2" t="s">
        <v>232</v>
      </c>
      <c r="B39" s="4"/>
      <c r="C39" s="64"/>
    </row>
    <row r="40" spans="1:3" ht="16" x14ac:dyDescent="0.2">
      <c r="A40" s="2" t="s">
        <v>453</v>
      </c>
      <c r="B40" s="4" t="s">
        <v>367</v>
      </c>
      <c r="C40" s="60" t="s">
        <v>368</v>
      </c>
    </row>
    <row r="41" spans="1:3" ht="16" x14ac:dyDescent="0.2">
      <c r="A41" s="2" t="s">
        <v>454</v>
      </c>
      <c r="B41" s="4" t="s">
        <v>369</v>
      </c>
      <c r="C41" s="60" t="s">
        <v>370</v>
      </c>
    </row>
    <row r="42" spans="1:3" ht="16" hidden="1" x14ac:dyDescent="0.2">
      <c r="A42" s="22" t="s">
        <v>233</v>
      </c>
      <c r="B42" s="15"/>
      <c r="C42" s="15"/>
    </row>
    <row r="43" spans="1:3" ht="16" hidden="1" x14ac:dyDescent="0.2">
      <c r="A43" s="22" t="s">
        <v>234</v>
      </c>
      <c r="B43" s="45"/>
      <c r="C43" s="15"/>
    </row>
    <row r="44" spans="1:3" ht="16" hidden="1" x14ac:dyDescent="0.2">
      <c r="A44" s="2" t="s">
        <v>455</v>
      </c>
      <c r="B44" s="4"/>
      <c r="C44" s="4"/>
    </row>
    <row r="45" spans="1:3" ht="16" x14ac:dyDescent="0.2">
      <c r="A45" s="2" t="s">
        <v>456</v>
      </c>
      <c r="B45" s="1" t="s">
        <v>371</v>
      </c>
      <c r="C45" s="4" t="s">
        <v>372</v>
      </c>
    </row>
    <row r="46" spans="1:3" ht="16" hidden="1" x14ac:dyDescent="0.2">
      <c r="A46" s="2" t="s">
        <v>457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6" t="s">
        <v>373</v>
      </c>
      <c r="B1" s="77" t="s">
        <v>374</v>
      </c>
      <c r="C1" s="78" t="s">
        <v>375</v>
      </c>
    </row>
    <row r="2" spans="1:4" ht="22" x14ac:dyDescent="0.25">
      <c r="A2" s="74" t="s">
        <v>376</v>
      </c>
      <c r="B2" s="75" t="s">
        <v>377</v>
      </c>
      <c r="C2" s="75" t="s">
        <v>378</v>
      </c>
    </row>
    <row r="3" spans="1:4" ht="22" x14ac:dyDescent="0.25">
      <c r="A3" s="74" t="s">
        <v>379</v>
      </c>
      <c r="B3" s="75" t="s">
        <v>380</v>
      </c>
      <c r="C3" s="75" t="s">
        <v>242</v>
      </c>
    </row>
    <row r="4" spans="1:4" ht="22" x14ac:dyDescent="0.25">
      <c r="A4" s="74" t="s">
        <v>381</v>
      </c>
      <c r="B4" s="79" t="s">
        <v>382</v>
      </c>
      <c r="C4" s="79" t="s">
        <v>382</v>
      </c>
    </row>
    <row r="5" spans="1:4" ht="22" x14ac:dyDescent="0.25">
      <c r="A5" s="74" t="s">
        <v>383</v>
      </c>
      <c r="B5" s="79" t="s">
        <v>382</v>
      </c>
      <c r="C5" s="79" t="s">
        <v>382</v>
      </c>
    </row>
    <row r="6" spans="1:4" ht="22" x14ac:dyDescent="0.25">
      <c r="A6" s="74" t="s">
        <v>384</v>
      </c>
      <c r="B6" s="75" t="s">
        <v>385</v>
      </c>
      <c r="C6" s="75" t="s">
        <v>386</v>
      </c>
    </row>
    <row r="7" spans="1:4" ht="22" x14ac:dyDescent="0.25">
      <c r="A7" s="74" t="s">
        <v>387</v>
      </c>
      <c r="B7" s="75" t="s">
        <v>388</v>
      </c>
      <c r="C7" s="75" t="s">
        <v>389</v>
      </c>
      <c r="D7" t="s">
        <v>390</v>
      </c>
    </row>
    <row r="8" spans="1:4" ht="22" x14ac:dyDescent="0.25">
      <c r="A8" s="74" t="s">
        <v>391</v>
      </c>
      <c r="B8" s="75" t="s">
        <v>323</v>
      </c>
      <c r="C8" s="75" t="s">
        <v>392</v>
      </c>
      <c r="D8" t="s">
        <v>393</v>
      </c>
    </row>
    <row r="9" spans="1:4" ht="22" x14ac:dyDescent="0.25">
      <c r="A9" s="74" t="s">
        <v>394</v>
      </c>
      <c r="B9" s="75" t="s">
        <v>395</v>
      </c>
      <c r="C9" s="75" t="s">
        <v>396</v>
      </c>
      <c r="D9" t="s">
        <v>397</v>
      </c>
    </row>
    <row r="10" spans="1:4" ht="22" x14ac:dyDescent="0.25">
      <c r="A10" s="74" t="s">
        <v>398</v>
      </c>
      <c r="B10" s="75">
        <v>26000</v>
      </c>
      <c r="C10" s="75">
        <v>20000</v>
      </c>
    </row>
    <row r="11" spans="1:4" ht="22" x14ac:dyDescent="0.25">
      <c r="A11" s="74" t="s">
        <v>399</v>
      </c>
      <c r="B11" s="75">
        <v>445</v>
      </c>
      <c r="C11" s="75">
        <v>371</v>
      </c>
    </row>
    <row r="12" spans="1:4" ht="22" x14ac:dyDescent="0.25">
      <c r="A12" s="74" t="s">
        <v>400</v>
      </c>
      <c r="B12" s="75">
        <v>96000</v>
      </c>
      <c r="C12" s="75">
        <v>80000</v>
      </c>
    </row>
    <row r="13" spans="1:4" ht="22" x14ac:dyDescent="0.25">
      <c r="A13" s="74" t="s">
        <v>401</v>
      </c>
      <c r="B13" s="75">
        <v>400000</v>
      </c>
      <c r="C13" s="75">
        <v>300000</v>
      </c>
    </row>
    <row r="14" spans="1:4" ht="22" x14ac:dyDescent="0.25">
      <c r="A14" s="74" t="s">
        <v>402</v>
      </c>
      <c r="B14" s="75">
        <v>200000</v>
      </c>
      <c r="C14" s="75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3D764E2-0E35-4957-B738-9033D3F0B0F5}">
  <ds:schemaRefs>
    <ds:schemaRef ds:uri="http://schemas.openxmlformats.org/package/2006/metadata/core-properties"/>
    <ds:schemaRef ds:uri="9bf4d24f-a117-48f7-91e1-2035a8c734fd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documentManagement/types"/>
    <ds:schemaRef ds:uri="http://purl.org/dc/terms/"/>
    <ds:schemaRef ds:uri="cb645b5b-9a36-43da-96bf-ab72ec91ddff"/>
    <ds:schemaRef ds:uri="0b7692b1-2532-40e4-a300-4d7fced4a07a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Alexis, Antony Ruban</cp:lastModifiedBy>
  <cp:revision/>
  <dcterms:created xsi:type="dcterms:W3CDTF">2023-04-12T15:54:29Z</dcterms:created>
  <dcterms:modified xsi:type="dcterms:W3CDTF">2026-06-09T05:07:42Z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